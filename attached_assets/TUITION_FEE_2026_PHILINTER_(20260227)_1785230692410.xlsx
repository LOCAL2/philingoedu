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MIUM &amp; BOOSTER" sheetId="1" r:id="rId4"/>
    <sheet state="visible" name="ESL &amp; SPEAKING " sheetId="2" r:id="rId5"/>
    <sheet state="visible" name="IELTS" sheetId="3" r:id="rId6"/>
    <sheet state="visible" name="TOEIC, BUSINESS" sheetId="4" r:id="rId7"/>
    <sheet state="visible" name="JUNIOR &amp; FAMILY" sheetId="5" r:id="rId8"/>
    <sheet state="visible" name="SPECIAL PROGRAM" sheetId="6" r:id="rId9"/>
  </sheets>
  <definedNames/>
  <calcPr/>
  <extLst>
    <ext uri="GoogleSheetsCustomDataVersion2">
      <go:sheetsCustomData xmlns:go="http://customooxmlschemas.google.com/" r:id="rId10" roundtripDataChecksum="cRDzq46JOkCXFuY4fj0xHZnoNkYXKGqvFJjTkELioXQ="/>
    </ext>
  </extLst>
</workbook>
</file>

<file path=xl/sharedStrings.xml><?xml version="1.0" encoding="utf-8"?>
<sst xmlns="http://schemas.openxmlformats.org/spreadsheetml/2006/main" count="819" uniqueCount="79">
  <si>
    <t xml:space="preserve">2026 PRICELIST FOR KR/VN/TH/MN     </t>
  </si>
  <si>
    <t>REGISTRATION FEE</t>
  </si>
  <si>
    <t>TUITION FEE (4weeks)</t>
  </si>
  <si>
    <t xml:space="preserve"> DORMITORY (4 weeks)</t>
  </si>
  <si>
    <t>Single</t>
  </si>
  <si>
    <t>Double</t>
  </si>
  <si>
    <t>Triple</t>
  </si>
  <si>
    <t>AZON CONDO (4 weeks)</t>
  </si>
  <si>
    <t>AZON Single</t>
  </si>
  <si>
    <t>BOOSTER SPEAKING</t>
  </si>
  <si>
    <t>AZON Double</t>
  </si>
  <si>
    <t>AZON Triple</t>
  </si>
  <si>
    <t>Study from 7/5/2026 - 8/29/2026</t>
  </si>
  <si>
    <t>Peak Season surcharge</t>
  </si>
  <si>
    <t>$40 per week</t>
  </si>
  <si>
    <t>Course</t>
  </si>
  <si>
    <t>Room Type</t>
  </si>
  <si>
    <t>1W</t>
  </si>
  <si>
    <t>2W</t>
  </si>
  <si>
    <t>3W</t>
  </si>
  <si>
    <t>4W</t>
  </si>
  <si>
    <t>5W</t>
  </si>
  <si>
    <t>6W</t>
  </si>
  <si>
    <t>7W</t>
  </si>
  <si>
    <t>8W</t>
  </si>
  <si>
    <t>9W</t>
  </si>
  <si>
    <t>10W</t>
  </si>
  <si>
    <t>11W</t>
  </si>
  <si>
    <t>12W</t>
  </si>
  <si>
    <t>13W</t>
  </si>
  <si>
    <t>14W</t>
  </si>
  <si>
    <t>15W</t>
  </si>
  <si>
    <t>16W</t>
  </si>
  <si>
    <t>17W</t>
  </si>
  <si>
    <t>18W</t>
  </si>
  <si>
    <t>19W</t>
  </si>
  <si>
    <t>20W</t>
  </si>
  <si>
    <t>21W</t>
  </si>
  <si>
    <t>22W</t>
  </si>
  <si>
    <t>23W</t>
  </si>
  <si>
    <t>24W</t>
  </si>
  <si>
    <t xml:space="preserve">Tuition </t>
  </si>
  <si>
    <t>Accommodatioin</t>
  </si>
  <si>
    <t>PREMIUM</t>
  </si>
  <si>
    <t>SPEAKING</t>
  </si>
  <si>
    <t xml:space="preserve">Double </t>
  </si>
  <si>
    <t xml:space="preserve">AZON Double </t>
  </si>
  <si>
    <t>JUNIOR SPEAKING</t>
  </si>
  <si>
    <t xml:space="preserve">
=(N7+Y10)*2</t>
  </si>
  <si>
    <t>* Registration fee is not included in the above cost.</t>
  </si>
  <si>
    <t>* Azon Condo's triple room is only available for families and groups.</t>
  </si>
  <si>
    <t>2026 PRICELIST FOR KR/VN/TH/MN</t>
  </si>
  <si>
    <t>LIGHT ESL</t>
  </si>
  <si>
    <t>ESL &amp; SPEAKING</t>
  </si>
  <si>
    <t>INTENSIVE ESL</t>
  </si>
  <si>
    <t>GENERAL ESL</t>
  </si>
  <si>
    <t>IPS - Intensive Power Speaking</t>
  </si>
  <si>
    <t>IELTS</t>
  </si>
  <si>
    <t>IELTS INTENSIVE</t>
  </si>
  <si>
    <t>IELTS GUARANTEE 12 WEEKS</t>
  </si>
  <si>
    <t>-</t>
  </si>
  <si>
    <t>IELTS GUARANTEE 8 WEEKS</t>
  </si>
  <si>
    <t>TOEIC Guarantee 12 weeks</t>
  </si>
  <si>
    <t>BUSINESS</t>
  </si>
  <si>
    <t>Focus Indusry</t>
  </si>
  <si>
    <t>Basic Business</t>
  </si>
  <si>
    <t>Advanced Business</t>
  </si>
  <si>
    <t>TOEIC</t>
  </si>
  <si>
    <t>TOEIC Regular</t>
  </si>
  <si>
    <t>TOEIC Guarantee     12 weeks</t>
  </si>
  <si>
    <t>Focus Industry</t>
  </si>
  <si>
    <t>DORMITORY (4 weeks)</t>
  </si>
  <si>
    <t>JUNIOR &amp; FAMILY</t>
  </si>
  <si>
    <t>PRIMARY ENGLISH (7~11yrs.)                                  JUNIOR ESL (12~17yrs.)</t>
  </si>
  <si>
    <t>JUNIOR IELTS (12~17yrs.)</t>
  </si>
  <si>
    <t xml:space="preserve">IELTS 16-Week for 5.5 </t>
  </si>
  <si>
    <t xml:space="preserve">IELTS 16-Week for 6.5 </t>
  </si>
  <si>
    <t>IELTS 6.5 FOR STARTER  (UPPER ELEMENTARY)</t>
  </si>
  <si>
    <t>IELTS 5.5 FOR STARTER (UPPER BEGINNER)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</si>
</sst>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_);[Red]\(&quot;$&quot;#,##0\)"/>
    <numFmt numFmtId="165" formatCode="_([$$-409]* #,##0_);_([$$-409]* \(#,##0\);_([$$-409]* &quot;-&quot;??_);_(@_)"/>
    <numFmt numFmtId="166" formatCode="_([$$-409]* #,##0.00_);_([$$-409]* \(#,##0.00\);_([$$-409]* &quot;-&quot;??_);_(@_)"/>
    <numFmt numFmtId="167" formatCode="_([$$-409]* #,##0.0_);_([$$-409]* \(#,##0.0\);_([$$-409]* &quot;-&quot;?_);_(@_)"/>
    <numFmt numFmtId="168" formatCode="_([$$-409]* #,##0_);_([$$-409]* \(#,##0\);_([$$-409]* &quot;-&quot;?_);_(@_)"/>
  </numFmts>
  <fonts count="32">
    <font>
      <sz val="11.0"/>
      <color theme="1"/>
      <name val="Candara"/>
      <scheme val="minor"/>
    </font>
    <font>
      <b/>
      <sz val="48.0"/>
      <color theme="1"/>
      <name val="Arial"/>
    </font>
    <font>
      <sz val="9.0"/>
      <color theme="1"/>
      <name val="Arial"/>
    </font>
    <font>
      <b/>
      <sz val="16.0"/>
      <color rgb="FFFFFFFF"/>
      <name val="Arial"/>
    </font>
    <font/>
    <font>
      <b/>
      <sz val="16.0"/>
      <color theme="1"/>
      <name val="Arial"/>
    </font>
    <font>
      <b/>
      <sz val="14.0"/>
      <color theme="0"/>
      <name val="Arial"/>
    </font>
    <font>
      <b/>
      <i/>
      <sz val="14.0"/>
      <color rgb="FFC00000"/>
      <name val="Arial"/>
    </font>
    <font>
      <i/>
      <sz val="11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i/>
      <sz val="11.0"/>
      <color theme="1"/>
      <name val="Arial"/>
    </font>
    <font>
      <b/>
      <sz val="11.0"/>
      <color rgb="FFFFFFFF"/>
      <name val="Arial"/>
    </font>
    <font>
      <b/>
      <sz val="12.0"/>
      <color theme="0"/>
      <name val="HY엽서L"/>
    </font>
    <font>
      <sz val="12.0"/>
      <color theme="1"/>
      <name val="Arial"/>
    </font>
    <font>
      <sz val="12.0"/>
      <color theme="1"/>
      <name val="HY엽서L"/>
    </font>
    <font>
      <b/>
      <i/>
      <sz val="20.0"/>
      <color theme="0"/>
      <name val="Arial"/>
    </font>
    <font>
      <b/>
      <sz val="10.0"/>
      <color theme="1"/>
      <name val="Arial"/>
    </font>
    <font>
      <sz val="10.0"/>
      <color theme="1"/>
      <name val="Arial"/>
    </font>
    <font>
      <b/>
      <i/>
      <sz val="10.0"/>
      <color theme="1"/>
      <name val="Arial"/>
    </font>
    <font>
      <b/>
      <sz val="16.0"/>
      <color theme="0"/>
      <name val="Arial"/>
    </font>
    <font>
      <b/>
      <i/>
      <sz val="20.0"/>
      <color rgb="FFFFFFFF"/>
      <name val="Arial"/>
    </font>
    <font>
      <b/>
      <sz val="14.0"/>
      <color rgb="FFFFFFFF"/>
      <name val="Arial"/>
    </font>
    <font>
      <b/>
      <i/>
      <color theme="1"/>
      <name val="Arial"/>
    </font>
    <font>
      <color theme="1"/>
      <name val="Arial"/>
    </font>
    <font>
      <b/>
      <sz val="11.0"/>
      <color theme="0"/>
      <name val="Arial"/>
    </font>
    <font>
      <sz val="11.0"/>
      <color theme="1"/>
      <name val="HY엽서L"/>
    </font>
    <font>
      <i/>
      <sz val="10.0"/>
      <color theme="1"/>
      <name val="Arial"/>
    </font>
    <font>
      <b/>
      <i/>
      <sz val="20.0"/>
      <color theme="1"/>
      <name val="Arial"/>
    </font>
    <font>
      <b/>
      <i/>
      <sz val="11.0"/>
      <color rgb="FFC00000"/>
      <name val="Arial"/>
    </font>
    <font>
      <b/>
      <sz val="12.0"/>
      <color theme="0"/>
      <name val="Arial"/>
    </font>
    <font>
      <b/>
      <i/>
      <sz val="14.0"/>
      <color theme="0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0075A2"/>
        <bgColor rgb="FF0075A2"/>
      </patternFill>
    </fill>
    <fill>
      <patternFill patternType="solid">
        <fgColor rgb="FFB2DDF2"/>
        <bgColor rgb="FFB2DDF2"/>
      </patternFill>
    </fill>
    <fill>
      <patternFill patternType="solid">
        <fgColor rgb="FFC4EEFE"/>
        <bgColor rgb="FFC4EEFE"/>
      </patternFill>
    </fill>
    <fill>
      <patternFill patternType="solid">
        <fgColor rgb="FF82B1E4"/>
        <bgColor rgb="FF82B1E4"/>
      </patternFill>
    </fill>
    <fill>
      <patternFill patternType="solid">
        <fgColor rgb="FFC8DA91"/>
        <bgColor rgb="FFC8DA91"/>
      </patternFill>
    </fill>
    <fill>
      <patternFill patternType="solid">
        <fgColor rgb="FFDAE6B6"/>
        <bgColor rgb="FFDAE6B6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84F331"/>
        <bgColor rgb="FF84F331"/>
      </patternFill>
    </fill>
    <fill>
      <patternFill patternType="solid">
        <fgColor rgb="FF3F3F3F"/>
        <bgColor rgb="FF3F3F3F"/>
      </patternFill>
    </fill>
    <fill>
      <patternFill patternType="solid">
        <fgColor rgb="FF5CABF2"/>
        <bgColor rgb="FF5CABF2"/>
      </patternFill>
    </fill>
    <fill>
      <patternFill patternType="solid">
        <fgColor rgb="FF004E6C"/>
        <bgColor rgb="FF004E6C"/>
      </patternFill>
    </fill>
    <fill>
      <patternFill patternType="solid">
        <fgColor rgb="FFDBEFF9"/>
        <bgColor rgb="FFDBEFF9"/>
      </patternFill>
    </fill>
    <fill>
      <patternFill patternType="solid">
        <fgColor rgb="FF90C6F6"/>
        <bgColor rgb="FF90C6F6"/>
      </patternFill>
    </fill>
    <fill>
      <patternFill patternType="solid">
        <fgColor rgb="FFFFC000"/>
        <bgColor rgb="FFFFC000"/>
      </patternFill>
    </fill>
    <fill>
      <patternFill patternType="solid">
        <fgColor rgb="FFC7E2FA"/>
        <bgColor rgb="FFC7E2FA"/>
      </patternFill>
    </fill>
    <fill>
      <patternFill patternType="solid">
        <fgColor rgb="FFE69F58"/>
        <bgColor rgb="FFE69F58"/>
      </patternFill>
    </fill>
    <fill>
      <patternFill patternType="solid">
        <fgColor rgb="FF8D1F22"/>
        <bgColor rgb="FF8D1F22"/>
      </patternFill>
    </fill>
    <fill>
      <patternFill patternType="solid">
        <fgColor rgb="FFF8DBD0"/>
        <bgColor rgb="FFF8DBD0"/>
      </patternFill>
    </fill>
    <fill>
      <patternFill patternType="solid">
        <fgColor rgb="FFF5DEB5"/>
        <bgColor rgb="FFF5DEB5"/>
      </patternFill>
    </fill>
    <fill>
      <patternFill patternType="solid">
        <fgColor rgb="FF2190C8"/>
        <bgColor rgb="FF2190C8"/>
      </patternFill>
    </fill>
    <fill>
      <patternFill patternType="solid">
        <fgColor rgb="FF104864"/>
        <bgColor rgb="FF104864"/>
      </patternFill>
    </fill>
    <fill>
      <patternFill patternType="solid">
        <fgColor rgb="FF89DEFF"/>
        <bgColor rgb="FF89DEFF"/>
      </patternFill>
    </fill>
    <fill>
      <patternFill patternType="solid">
        <fgColor rgb="FF0B5394"/>
        <bgColor rgb="FF0B5394"/>
      </patternFill>
    </fill>
    <fill>
      <patternFill patternType="solid">
        <fgColor rgb="FF089CA2"/>
        <bgColor rgb="FF089CA2"/>
      </patternFill>
    </fill>
    <fill>
      <patternFill patternType="solid">
        <fgColor rgb="FF05686C"/>
        <bgColor rgb="FF05686C"/>
      </patternFill>
    </fill>
    <fill>
      <patternFill patternType="solid">
        <fgColor rgb="FFF8FAF0"/>
        <bgColor rgb="FFF8FAF0"/>
      </patternFill>
    </fill>
    <fill>
      <patternFill patternType="solid">
        <fgColor rgb="FFE4F4DF"/>
        <bgColor rgb="FFE4F4DF"/>
      </patternFill>
    </fill>
    <fill>
      <patternFill patternType="solid">
        <fgColor rgb="FF83E7E9"/>
        <bgColor rgb="FF83E7E9"/>
      </patternFill>
    </fill>
    <fill>
      <patternFill patternType="solid">
        <fgColor rgb="FF387025"/>
        <bgColor rgb="FF387025"/>
      </patternFill>
    </fill>
    <fill>
      <patternFill patternType="solid">
        <fgColor rgb="FFECF2DA"/>
        <bgColor rgb="FFECF2DA"/>
      </patternFill>
    </fill>
    <fill>
      <patternFill patternType="solid">
        <fgColor rgb="FFCAE9C0"/>
        <bgColor rgb="FFCAE9C0"/>
      </patternFill>
    </fill>
    <fill>
      <patternFill patternType="solid">
        <fgColor rgb="FFB0DFA0"/>
        <bgColor rgb="FFB0DFA0"/>
      </patternFill>
    </fill>
  </fills>
  <borders count="76">
    <border/>
    <border>
      <left/>
      <top/>
    </border>
    <border>
      <right style="medium">
        <color theme="0"/>
      </right>
      <top/>
    </border>
    <border>
      <left style="medium">
        <color theme="0"/>
      </left>
      <right style="medium">
        <color theme="0"/>
      </right>
      <top/>
    </border>
    <border>
      <left style="medium">
        <color theme="0"/>
      </left>
      <right style="medium">
        <color theme="0"/>
      </right>
      <bottom style="medium">
        <color theme="0"/>
      </bottom>
    </border>
    <border>
      <left style="medium">
        <color theme="0"/>
      </left>
      <top/>
    </border>
    <border>
      <right/>
      <top/>
    </border>
    <border>
      <left style="medium">
        <color theme="0"/>
      </left>
      <top style="medium">
        <color theme="0"/>
      </top>
    </border>
    <border>
      <right style="medium">
        <color theme="0"/>
      </right>
      <top style="medium">
        <color theme="0"/>
      </top>
    </border>
    <border>
      <top/>
    </border>
    <border>
      <left style="medium">
        <color theme="0"/>
      </left>
      <top/>
      <bottom style="medium">
        <color theme="0"/>
      </bottom>
    </border>
    <border>
      <top/>
      <bottom style="medium">
        <color theme="0"/>
      </bottom>
    </border>
    <border>
      <right style="medium">
        <color theme="0"/>
      </right>
      <top/>
      <bottom style="medium">
        <color theme="0"/>
      </bottom>
    </border>
    <border>
      <right/>
      <top/>
      <bottom style="medium">
        <color theme="0"/>
      </bottom>
    </border>
    <border>
      <left/>
    </border>
    <border>
      <right style="medium">
        <color theme="0"/>
      </right>
    </border>
    <border>
      <left style="medium">
        <color theme="0"/>
      </left>
      <right style="medium">
        <color theme="0"/>
      </right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</border>
    <border>
      <right/>
    </border>
    <border>
      <left style="medium">
        <color theme="0"/>
      </left>
      <bottom/>
    </border>
    <border>
      <bottom/>
    </border>
    <border>
      <right style="medium">
        <color theme="0"/>
      </right>
      <bottom/>
    </border>
    <border>
      <left style="medium">
        <color theme="0"/>
      </left>
      <top style="medium">
        <color theme="0"/>
      </top>
      <bottom style="medium">
        <color theme="0"/>
      </bottom>
    </border>
    <border>
      <top style="medium">
        <color theme="0"/>
      </top>
      <bottom style="medium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right/>
      <top style="medium">
        <color theme="0"/>
      </top>
      <bottom style="medium">
        <color theme="0"/>
      </bottom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bottom style="medium">
        <color theme="0"/>
      </bottom>
    </border>
    <border>
      <bottom style="medium">
        <color theme="0"/>
      </bottom>
    </border>
    <border>
      <right style="medium">
        <color theme="0"/>
      </right>
      <bottom style="medium">
        <color theme="0"/>
      </bottom>
    </border>
    <border>
      <top style="medium">
        <color theme="0"/>
      </top>
    </border>
    <border>
      <left/>
      <bottom style="medium">
        <color theme="0"/>
      </bottom>
    </border>
    <border>
      <right/>
      <bottom style="medium">
        <color theme="0"/>
      </bottom>
    </border>
    <border>
      <left style="medium">
        <color theme="0"/>
      </left>
      <right/>
      <top style="medium">
        <color theme="0"/>
      </top>
      <bottom style="medium">
        <color theme="0"/>
      </bottom>
    </border>
    <border>
      <left/>
      <right/>
      <top style="medium">
        <color theme="0"/>
      </top>
      <bottom style="medium">
        <color theme="0"/>
      </bottom>
    </border>
    <border>
      <left/>
      <right style="medium">
        <color theme="0"/>
      </right>
      <top style="medium">
        <color theme="0"/>
      </top>
      <bottom style="medium">
        <color theme="0"/>
      </bottom>
    </border>
    <border>
      <left/>
      <top style="medium">
        <color theme="0"/>
      </top>
      <bottom style="medium">
        <color theme="0"/>
      </bottom>
    </border>
    <border>
      <bottom style="thin">
        <color rgb="FF000000"/>
      </bottom>
    </border>
    <border>
      <left/>
      <right style="medium">
        <color theme="0"/>
      </right>
      <top style="medium">
        <color theme="0"/>
      </top>
    </border>
    <border>
      <left style="medium">
        <color theme="0"/>
      </left>
      <right style="medium">
        <color theme="0"/>
      </right>
      <top style="medium">
        <color theme="0"/>
      </top>
    </border>
    <border>
      <left/>
      <right style="medium">
        <color theme="0"/>
      </right>
    </border>
    <border>
      <left/>
      <right style="medium">
        <color theme="0"/>
      </right>
      <bottom/>
    </border>
    <border>
      <left/>
      <bottom/>
    </border>
    <border>
      <right/>
      <bottom/>
    </border>
    <border>
      <left/>
      <top style="medium">
        <color theme="0"/>
      </top>
    </border>
    <border>
      <right style="thin">
        <color theme="0"/>
      </right>
      <top style="medium">
        <color theme="0"/>
      </top>
    </border>
    <border>
      <right style="thin">
        <color theme="0"/>
      </right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theme="0"/>
      </left>
      <top style="medium">
        <color theme="0"/>
      </top>
      <bottom/>
    </border>
    <border>
      <right style="medium">
        <color theme="0"/>
      </right>
      <top style="medium">
        <color theme="0"/>
      </top>
      <bottom/>
    </border>
    <border>
      <left/>
      <top style="thin">
        <color theme="0"/>
      </top>
    </border>
    <border>
      <top style="thin">
        <color theme="0"/>
      </top>
    </border>
    <border>
      <right style="medium">
        <color theme="0"/>
      </right>
      <top style="thin">
        <color theme="0"/>
      </top>
    </border>
    <border>
      <left style="medium">
        <color theme="0"/>
      </left>
      <top style="thin">
        <color theme="0"/>
      </top>
    </border>
    <border>
      <right style="thin">
        <color theme="0"/>
      </right>
      <top style="thin">
        <color theme="0"/>
      </top>
    </border>
    <border>
      <left style="thin">
        <color theme="0"/>
      </left>
      <right style="medium">
        <color theme="0"/>
      </right>
      <bottom style="medium">
        <color theme="0"/>
      </bottom>
    </border>
    <border>
      <left style="thin">
        <color theme="0"/>
      </left>
      <right style="medium">
        <color theme="0"/>
      </right>
      <top style="medium">
        <color theme="0"/>
      </top>
    </border>
    <border>
      <right/>
      <top style="medium">
        <color theme="0"/>
      </top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</border>
    <border>
      <right style="thin">
        <color theme="0"/>
      </right>
      <bottom style="medium">
        <color theme="0"/>
      </bottom>
    </border>
    <border>
      <right style="thin">
        <color theme="0"/>
      </right>
      <top/>
    </border>
    <border>
      <left/>
      <bottom style="thin">
        <color theme="0"/>
      </bottom>
    </border>
    <border>
      <bottom style="thin">
        <color theme="0"/>
      </bottom>
    </border>
    <border>
      <right/>
      <bottom style="thin">
        <color theme="0"/>
      </bottom>
    </border>
    <border>
      <left style="medium">
        <color theme="0"/>
      </left>
      <bottom style="thin">
        <color theme="0"/>
      </bottom>
    </border>
    <border>
      <right style="thin">
        <color theme="0"/>
      </right>
      <bottom style="thin">
        <color theme="0"/>
      </bottom>
    </border>
    <border>
      <left/>
      <right/>
      <top style="medium">
        <color theme="0"/>
      </top>
    </border>
    <border>
      <left/>
      <right/>
    </border>
    <border>
      <left style="medium">
        <color theme="0"/>
      </left>
      <right style="medium">
        <color theme="0"/>
      </right>
      <bottom/>
    </border>
    <border>
      <left/>
      <right/>
      <bottom/>
    </border>
    <border>
      <left/>
      <right style="medium">
        <color theme="0"/>
      </right>
      <bottom style="medium">
        <color theme="0"/>
      </bottom>
    </border>
    <border>
      <left style="medium">
        <color theme="0"/>
      </left>
      <right/>
      <top/>
      <bottom style="medium">
        <color theme="0"/>
      </bottom>
    </border>
    <border>
      <left/>
      <right style="medium">
        <color theme="0"/>
      </right>
      <top/>
      <bottom style="medium">
        <color theme="0"/>
      </bottom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3" fontId="5" numFmtId="164" xfId="0" applyAlignment="1" applyBorder="1" applyFill="1" applyFont="1" applyNumberFormat="1">
      <alignment horizontal="center" vertical="center"/>
    </xf>
    <xf borderId="4" fillId="0" fontId="2" numFmtId="0" xfId="0" applyBorder="1" applyFont="1"/>
    <xf borderId="5" fillId="2" fontId="6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4" fontId="7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5" fillId="3" fontId="8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5" fillId="3" fontId="9" numFmtId="165" xfId="0" applyAlignment="1" applyBorder="1" applyFont="1" applyNumberFormat="1">
      <alignment horizontal="center" vertical="center"/>
    </xf>
    <xf borderId="5" fillId="5" fontId="9" numFmtId="0" xfId="0" applyAlignment="1" applyBorder="1" applyFill="1" applyFont="1">
      <alignment horizontal="center" shrinkToFit="0" vertical="center" wrapText="1"/>
    </xf>
    <xf borderId="10" fillId="3" fontId="9" numFmtId="0" xfId="0" applyAlignment="1" applyBorder="1" applyFont="1">
      <alignment horizontal="left"/>
    </xf>
    <xf borderId="11" fillId="0" fontId="4" numFmtId="0" xfId="0" applyBorder="1" applyFont="1"/>
    <xf borderId="12" fillId="0" fontId="4" numFmtId="0" xfId="0" applyBorder="1" applyFont="1"/>
    <xf borderId="10" fillId="3" fontId="9" numFmtId="165" xfId="0" applyAlignment="1" applyBorder="1" applyFont="1" applyNumberFormat="1">
      <alignment horizontal="center"/>
    </xf>
    <xf borderId="13" fillId="0" fontId="4" numFmtId="0" xfId="0" applyBorder="1" applyFont="1"/>
    <xf borderId="0" fillId="0" fontId="2" numFmtId="165" xfId="0" applyFont="1" applyNumberForma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2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3" fontId="9" numFmtId="0" xfId="0" applyAlignment="1" applyBorder="1" applyFont="1">
      <alignment horizontal="left"/>
    </xf>
    <xf borderId="24" fillId="0" fontId="4" numFmtId="0" xfId="0" applyBorder="1" applyFont="1"/>
    <xf borderId="25" fillId="0" fontId="4" numFmtId="0" xfId="0" applyBorder="1" applyFont="1"/>
    <xf borderId="23" fillId="3" fontId="9" numFmtId="165" xfId="0" applyAlignment="1" applyBorder="1" applyFont="1" applyNumberFormat="1">
      <alignment horizontal="center"/>
    </xf>
    <xf borderId="26" fillId="0" fontId="4" numFmtId="0" xfId="0" applyBorder="1" applyFont="1"/>
    <xf borderId="24" fillId="0" fontId="2" numFmtId="0" xfId="0" applyBorder="1" applyFont="1"/>
    <xf borderId="27" fillId="0" fontId="2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25" fillId="0" fontId="2" numFmtId="0" xfId="0" applyBorder="1" applyFont="1"/>
    <xf borderId="7" fillId="6" fontId="9" numFmtId="0" xfId="0" applyAlignment="1" applyBorder="1" applyFill="1" applyFont="1">
      <alignment horizontal="center" shrinkToFit="0" vertical="center" wrapText="1"/>
    </xf>
    <xf borderId="31" fillId="0" fontId="4" numFmtId="0" xfId="0" applyBorder="1" applyFont="1"/>
    <xf borderId="23" fillId="7" fontId="9" numFmtId="0" xfId="0" applyAlignment="1" applyBorder="1" applyFill="1" applyFont="1">
      <alignment horizontal="left"/>
    </xf>
    <xf borderId="23" fillId="7" fontId="9" numFmtId="165" xfId="0" applyAlignment="1" applyBorder="1" applyFont="1" applyNumberFormat="1">
      <alignment horizontal="center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vertical="center"/>
    </xf>
    <xf borderId="7" fillId="3" fontId="8" numFmtId="0" xfId="0" applyAlignment="1" applyBorder="1" applyFont="1">
      <alignment horizontal="center" shrinkToFit="0" vertical="center" wrapText="1"/>
    </xf>
    <xf borderId="7" fillId="3" fontId="9" numFmtId="165" xfId="0" applyAlignment="1" applyBorder="1" applyFont="1" applyNumberFormat="1">
      <alignment horizontal="center" vertical="center"/>
    </xf>
    <xf borderId="32" fillId="0" fontId="4" numFmtId="0" xfId="0" applyBorder="1" applyFont="1"/>
    <xf borderId="4" fillId="0" fontId="4" numFmtId="0" xfId="0" applyBorder="1" applyFont="1"/>
    <xf borderId="25" fillId="0" fontId="10" numFmtId="0" xfId="0" applyBorder="1" applyFont="1"/>
    <xf borderId="33" fillId="0" fontId="4" numFmtId="0" xfId="0" applyBorder="1" applyFont="1"/>
    <xf borderId="23" fillId="0" fontId="2" numFmtId="0" xfId="0" applyBorder="1" applyFont="1"/>
    <xf borderId="34" fillId="8" fontId="2" numFmtId="0" xfId="0" applyAlignment="1" applyBorder="1" applyFill="1" applyFont="1">
      <alignment horizontal="center"/>
    </xf>
    <xf borderId="35" fillId="8" fontId="2" numFmtId="0" xfId="0" applyAlignment="1" applyBorder="1" applyFont="1">
      <alignment horizontal="center"/>
    </xf>
    <xf borderId="36" fillId="8" fontId="2" numFmtId="0" xfId="0" applyAlignment="1" applyBorder="1" applyFont="1">
      <alignment horizontal="center"/>
    </xf>
    <xf borderId="34" fillId="8" fontId="2" numFmtId="164" xfId="0" applyAlignment="1" applyBorder="1" applyFont="1" applyNumberFormat="1">
      <alignment horizontal="center"/>
    </xf>
    <xf borderId="23" fillId="9" fontId="11" numFmtId="0" xfId="0" applyAlignment="1" applyBorder="1" applyFill="1" applyFont="1">
      <alignment horizontal="right" readingOrder="0" vertical="bottom"/>
    </xf>
    <xf borderId="23" fillId="9" fontId="9" numFmtId="0" xfId="0" applyAlignment="1" applyBorder="1" applyFont="1">
      <alignment readingOrder="0"/>
    </xf>
    <xf borderId="23" fillId="10" fontId="12" numFmtId="0" xfId="0" applyAlignment="1" applyBorder="1" applyFill="1" applyFont="1">
      <alignment readingOrder="0"/>
    </xf>
    <xf borderId="17" fillId="11" fontId="2" numFmtId="9" xfId="0" applyAlignment="1" applyBorder="1" applyFill="1" applyFont="1" applyNumberFormat="1">
      <alignment horizontal="center" vertical="center"/>
    </xf>
    <xf borderId="17" fillId="0" fontId="2" numFmtId="166" xfId="0" applyBorder="1" applyFont="1" applyNumberFormat="1"/>
    <xf borderId="17" fillId="0" fontId="2" numFmtId="167" xfId="0" applyBorder="1" applyFont="1" applyNumberFormat="1"/>
    <xf borderId="37" fillId="12" fontId="13" numFmtId="0" xfId="0" applyAlignment="1" applyBorder="1" applyFill="1" applyFont="1">
      <alignment horizontal="center" vertical="center"/>
    </xf>
    <xf borderId="17" fillId="12" fontId="13" numFmtId="0" xfId="0" applyAlignment="1" applyBorder="1" applyFont="1">
      <alignment horizontal="center" vertical="center"/>
    </xf>
    <xf borderId="34" fillId="12" fontId="13" numFmtId="0" xfId="0" applyAlignment="1" applyBorder="1" applyFont="1">
      <alignment horizontal="center" vertical="center"/>
    </xf>
    <xf borderId="0" fillId="0" fontId="14" numFmtId="0" xfId="0" applyAlignment="1" applyFont="1">
      <alignment horizontal="center"/>
    </xf>
    <xf borderId="38" fillId="0" fontId="15" numFmtId="0" xfId="0" applyAlignment="1" applyBorder="1" applyFont="1">
      <alignment horizontal="center"/>
    </xf>
    <xf borderId="38" fillId="0" fontId="4" numFmtId="0" xfId="0" applyBorder="1" applyFont="1"/>
    <xf borderId="0" fillId="0" fontId="15" numFmtId="0" xfId="0" applyAlignment="1" applyFont="1">
      <alignment horizontal="center"/>
    </xf>
    <xf borderId="24" fillId="0" fontId="2" numFmtId="0" xfId="0" applyAlignment="1" applyBorder="1" applyFont="1">
      <alignment horizontal="center"/>
    </xf>
    <xf borderId="39" fillId="13" fontId="16" numFmtId="0" xfId="0" applyAlignment="1" applyBorder="1" applyFill="1" applyFont="1">
      <alignment horizontal="center" shrinkToFit="0" vertical="center" wrapText="1"/>
    </xf>
    <xf borderId="40" fillId="14" fontId="6" numFmtId="0" xfId="0" applyAlignment="1" applyBorder="1" applyFill="1" applyFont="1">
      <alignment horizontal="center" shrinkToFit="0" vertical="center" wrapText="1"/>
    </xf>
    <xf borderId="17" fillId="15" fontId="17" numFmtId="0" xfId="0" applyAlignment="1" applyBorder="1" applyFill="1" applyFont="1">
      <alignment horizontal="left" vertical="center"/>
    </xf>
    <xf borderId="17" fillId="15" fontId="18" numFmtId="168" xfId="0" applyAlignment="1" applyBorder="1" applyFont="1" applyNumberFormat="1">
      <alignment horizontal="center" vertical="center"/>
    </xf>
    <xf borderId="17" fillId="15" fontId="18" numFmtId="165" xfId="0" applyAlignment="1" applyBorder="1" applyFont="1" applyNumberFormat="1">
      <alignment horizontal="center" vertical="center"/>
    </xf>
    <xf borderId="17" fillId="15" fontId="19" numFmtId="165" xfId="0" applyAlignment="1" applyBorder="1" applyFont="1" applyNumberFormat="1">
      <alignment horizontal="center" vertical="center"/>
    </xf>
    <xf borderId="34" fillId="15" fontId="19" numFmtId="165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41" fillId="0" fontId="4" numFmtId="0" xfId="0" applyBorder="1" applyFont="1"/>
    <xf borderId="17" fillId="4" fontId="17" numFmtId="0" xfId="0" applyAlignment="1" applyBorder="1" applyFont="1">
      <alignment horizontal="left" vertical="center"/>
    </xf>
    <xf borderId="17" fillId="4" fontId="18" numFmtId="165" xfId="0" applyAlignment="1" applyBorder="1" applyFont="1" applyNumberFormat="1">
      <alignment horizontal="center" vertical="center"/>
    </xf>
    <xf borderId="17" fillId="4" fontId="19" numFmtId="165" xfId="0" applyAlignment="1" applyBorder="1" applyFont="1" applyNumberFormat="1">
      <alignment horizontal="center" vertical="center"/>
    </xf>
    <xf borderId="17" fillId="16" fontId="17" numFmtId="0" xfId="0" applyAlignment="1" applyBorder="1" applyFill="1" applyFont="1">
      <alignment horizontal="left" vertical="center"/>
    </xf>
    <xf borderId="17" fillId="16" fontId="18" numFmtId="165" xfId="0" applyAlignment="1" applyBorder="1" applyFont="1" applyNumberFormat="1">
      <alignment horizontal="center" vertical="center"/>
    </xf>
    <xf borderId="17" fillId="16" fontId="19" numFmtId="165" xfId="0" applyAlignment="1" applyBorder="1" applyFont="1" applyNumberFormat="1">
      <alignment horizontal="center" vertical="center"/>
    </xf>
    <xf borderId="34" fillId="16" fontId="19" numFmtId="165" xfId="0" applyAlignment="1" applyBorder="1" applyFont="1" applyNumberFormat="1">
      <alignment horizontal="center" vertical="center"/>
    </xf>
    <xf borderId="17" fillId="15" fontId="19" numFmtId="165" xfId="0" applyAlignment="1" applyBorder="1" applyFont="1" applyNumberFormat="1">
      <alignment horizontal="center" shrinkToFit="0" vertical="center" wrapText="1"/>
    </xf>
    <xf borderId="34" fillId="4" fontId="19" numFmtId="165" xfId="0" applyAlignment="1" applyBorder="1" applyFont="1" applyNumberFormat="1">
      <alignment horizontal="center" vertical="center"/>
    </xf>
    <xf borderId="17" fillId="4" fontId="18" numFmtId="165" xfId="0" applyAlignment="1" applyBorder="1" applyFont="1" applyNumberFormat="1">
      <alignment horizontal="center" shrinkToFit="0" vertical="center" wrapText="1"/>
    </xf>
    <xf borderId="42" fillId="0" fontId="4" numFmtId="0" xfId="0" applyBorder="1" applyFont="1"/>
    <xf borderId="39" fillId="17" fontId="16" numFmtId="0" xfId="0" applyAlignment="1" applyBorder="1" applyFill="1" applyFont="1">
      <alignment horizontal="center" shrinkToFit="0" vertical="center" wrapText="1"/>
    </xf>
    <xf borderId="0" fillId="0" fontId="10" numFmtId="0" xfId="0" applyFont="1"/>
    <xf borderId="0" fillId="0" fontId="1" numFmtId="0" xfId="0" applyAlignment="1" applyFont="1">
      <alignment horizontal="center" vertical="center"/>
    </xf>
    <xf borderId="1" fillId="2" fontId="20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shrinkToFit="0" vertical="center" wrapText="1"/>
    </xf>
    <xf borderId="5" fillId="3" fontId="9" numFmtId="165" xfId="0" applyAlignment="1" applyBorder="1" applyFont="1" applyNumberFormat="1">
      <alignment horizontal="left" vertical="center"/>
    </xf>
    <xf borderId="43" fillId="0" fontId="4" numFmtId="0" xfId="0" applyBorder="1" applyFont="1"/>
    <xf borderId="44" fillId="0" fontId="4" numFmtId="0" xfId="0" applyBorder="1" applyFont="1"/>
    <xf borderId="45" fillId="3" fontId="8" numFmtId="0" xfId="0" applyAlignment="1" applyBorder="1" applyFont="1">
      <alignment horizontal="center" shrinkToFit="0" vertical="center" wrapText="1"/>
    </xf>
    <xf borderId="46" fillId="0" fontId="4" numFmtId="0" xfId="0" applyBorder="1" applyFont="1"/>
    <xf borderId="47" fillId="0" fontId="4" numFmtId="0" xfId="0" applyBorder="1" applyFont="1"/>
    <xf borderId="48" fillId="3" fontId="8" numFmtId="0" xfId="0" applyAlignment="1" applyBorder="1" applyFont="1">
      <alignment horizontal="center" shrinkToFit="0" vertical="center" wrapText="1"/>
    </xf>
    <xf borderId="49" fillId="0" fontId="4" numFmtId="0" xfId="0" applyBorder="1" applyFont="1"/>
    <xf borderId="50" fillId="0" fontId="4" numFmtId="0" xfId="0" applyBorder="1" applyFont="1"/>
    <xf borderId="51" fillId="3" fontId="9" numFmtId="165" xfId="0" applyAlignment="1" applyBorder="1" applyFont="1" applyNumberFormat="1">
      <alignment horizontal="center" vertical="center"/>
    </xf>
    <xf borderId="52" fillId="0" fontId="4" numFmtId="0" xfId="0" applyBorder="1" applyFont="1"/>
    <xf borderId="39" fillId="13" fontId="21" numFmtId="0" xfId="0" applyAlignment="1" applyBorder="1" applyFont="1">
      <alignment horizontal="center" readingOrder="0" shrinkToFit="0" vertical="center" wrapText="1"/>
    </xf>
    <xf borderId="40" fillId="14" fontId="22" numFmtId="0" xfId="0" applyAlignment="1" applyBorder="1" applyFont="1">
      <alignment horizontal="center" readingOrder="0" shrinkToFit="0" vertical="center" wrapText="1"/>
    </xf>
    <xf borderId="17" fillId="16" fontId="23" numFmtId="165" xfId="0" applyAlignment="1" applyBorder="1" applyFont="1" applyNumberFormat="1">
      <alignment horizontal="center"/>
    </xf>
    <xf borderId="17" fillId="16" fontId="24" numFmtId="165" xfId="0" applyAlignment="1" applyBorder="1" applyFont="1" applyNumberFormat="1">
      <alignment horizontal="center"/>
    </xf>
    <xf borderId="3" fillId="18" fontId="5" numFmtId="164" xfId="0" applyAlignment="1" applyBorder="1" applyFill="1" applyFont="1" applyNumberFormat="1">
      <alignment horizontal="center" vertical="center"/>
    </xf>
    <xf borderId="53" fillId="18" fontId="8" numFmtId="0" xfId="0" applyAlignment="1" applyBorder="1" applyFont="1">
      <alignment horizontal="center" shrinkToFit="0" vertical="center" wrapText="1"/>
    </xf>
    <xf borderId="54" fillId="0" fontId="4" numFmtId="0" xfId="0" applyBorder="1" applyFont="1"/>
    <xf borderId="55" fillId="0" fontId="4" numFmtId="0" xfId="0" applyBorder="1" applyFont="1"/>
    <xf borderId="56" fillId="18" fontId="9" numFmtId="165" xfId="0" applyAlignment="1" applyBorder="1" applyFont="1" applyNumberFormat="1">
      <alignment horizontal="left" vertical="center"/>
    </xf>
    <xf borderId="57" fillId="0" fontId="4" numFmtId="0" xfId="0" applyBorder="1" applyFont="1"/>
    <xf borderId="58" fillId="0" fontId="2" numFmtId="0" xfId="0" applyBorder="1" applyFont="1"/>
    <xf borderId="59" fillId="0" fontId="2" numFmtId="0" xfId="0" applyBorder="1" applyFont="1"/>
    <xf borderId="45" fillId="18" fontId="8" numFmtId="0" xfId="0" applyAlignment="1" applyBorder="1" applyFont="1">
      <alignment horizontal="center" shrinkToFit="0" vertical="center" wrapText="1"/>
    </xf>
    <xf borderId="60" fillId="0" fontId="4" numFmtId="0" xfId="0" applyBorder="1" applyFont="1"/>
    <xf borderId="7" fillId="18" fontId="9" numFmtId="165" xfId="0" applyAlignment="1" applyBorder="1" applyFont="1" applyNumberFormat="1">
      <alignment horizontal="center" vertical="center"/>
    </xf>
    <xf borderId="61" fillId="0" fontId="2" numFmtId="0" xfId="0" applyBorder="1" applyFont="1"/>
    <xf borderId="62" fillId="0" fontId="4" numFmtId="0" xfId="0" applyBorder="1" applyFont="1"/>
    <xf borderId="5" fillId="18" fontId="9" numFmtId="165" xfId="0" applyAlignment="1" applyBorder="1" applyFont="1" applyNumberFormat="1">
      <alignment horizontal="center" vertical="center"/>
    </xf>
    <xf borderId="63" fillId="0" fontId="4" numFmtId="0" xfId="0" applyBorder="1" applyFont="1"/>
    <xf borderId="64" fillId="0" fontId="4" numFmtId="0" xfId="0" applyBorder="1" applyFont="1"/>
    <xf borderId="65" fillId="0" fontId="4" numFmtId="0" xfId="0" applyBorder="1" applyFont="1"/>
    <xf borderId="66" fillId="0" fontId="4" numFmtId="0" xfId="0" applyBorder="1" applyFont="1"/>
    <xf borderId="67" fillId="0" fontId="4" numFmtId="0" xfId="0" applyBorder="1" applyFont="1"/>
    <xf borderId="68" fillId="0" fontId="4" numFmtId="0" xfId="0" applyBorder="1" applyFont="1"/>
    <xf borderId="30" fillId="0" fontId="10" numFmtId="0" xfId="0" applyBorder="1" applyFont="1"/>
    <xf borderId="30" fillId="0" fontId="2" numFmtId="0" xfId="0" applyBorder="1" applyFont="1"/>
    <xf borderId="40" fillId="0" fontId="2" numFmtId="0" xfId="0" applyBorder="1" applyFont="1"/>
    <xf borderId="18" fillId="0" fontId="2" numFmtId="0" xfId="0" applyBorder="1" applyFont="1"/>
    <xf borderId="37" fillId="12" fontId="25" numFmtId="0" xfId="0" applyAlignment="1" applyBorder="1" applyFont="1">
      <alignment horizontal="center" vertical="center"/>
    </xf>
    <xf borderId="17" fillId="12" fontId="25" numFmtId="0" xfId="0" applyAlignment="1" applyBorder="1" applyFont="1">
      <alignment horizontal="center" vertical="center"/>
    </xf>
    <xf borderId="34" fillId="12" fontId="25" numFmtId="0" xfId="0" applyAlignment="1" applyBorder="1" applyFont="1">
      <alignment horizontal="center" vertical="center"/>
    </xf>
    <xf borderId="0" fillId="0" fontId="10" numFmtId="0" xfId="0" applyAlignment="1" applyFont="1">
      <alignment horizontal="center"/>
    </xf>
    <xf borderId="38" fillId="0" fontId="26" numFmtId="0" xfId="0" applyAlignment="1" applyBorder="1" applyFont="1">
      <alignment horizontal="center"/>
    </xf>
    <xf borderId="0" fillId="0" fontId="26" numFmtId="0" xfId="0" applyAlignment="1" applyFont="1">
      <alignment horizontal="center"/>
    </xf>
    <xf borderId="69" fillId="19" fontId="16" numFmtId="0" xfId="0" applyAlignment="1" applyBorder="1" applyFill="1" applyFont="1">
      <alignment horizontal="center" shrinkToFit="0" vertical="center" wrapText="1"/>
    </xf>
    <xf borderId="40" fillId="20" fontId="6" numFmtId="0" xfId="0" applyAlignment="1" applyBorder="1" applyFill="1" applyFont="1">
      <alignment horizontal="center" shrinkToFit="0" vertical="center" wrapText="1"/>
    </xf>
    <xf borderId="17" fillId="21" fontId="17" numFmtId="0" xfId="0" applyAlignment="1" applyBorder="1" applyFill="1" applyFont="1">
      <alignment horizontal="left" vertical="center"/>
    </xf>
    <xf borderId="17" fillId="21" fontId="18" numFmtId="168" xfId="0" applyAlignment="1" applyBorder="1" applyFont="1" applyNumberFormat="1">
      <alignment horizontal="left" vertical="center"/>
    </xf>
    <xf borderId="17" fillId="21" fontId="18" numFmtId="165" xfId="0" applyAlignment="1" applyBorder="1" applyFont="1" applyNumberFormat="1">
      <alignment horizontal="left" vertical="center"/>
    </xf>
    <xf borderId="17" fillId="21" fontId="19" numFmtId="165" xfId="0" applyAlignment="1" applyBorder="1" applyFont="1" applyNumberFormat="1">
      <alignment horizontal="left" vertical="center"/>
    </xf>
    <xf borderId="34" fillId="21" fontId="19" numFmtId="165" xfId="0" applyAlignment="1" applyBorder="1" applyFont="1" applyNumberFormat="1">
      <alignment horizontal="left" vertical="center"/>
    </xf>
    <xf borderId="0" fillId="0" fontId="2" numFmtId="165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70" fillId="0" fontId="4" numFmtId="0" xfId="0" applyBorder="1" applyFont="1"/>
    <xf borderId="17" fillId="22" fontId="17" numFmtId="0" xfId="0" applyAlignment="1" applyBorder="1" applyFill="1" applyFont="1">
      <alignment horizontal="left" vertical="center"/>
    </xf>
    <xf borderId="17" fillId="22" fontId="18" numFmtId="165" xfId="0" applyAlignment="1" applyBorder="1" applyFont="1" applyNumberFormat="1">
      <alignment horizontal="left" vertical="center"/>
    </xf>
    <xf borderId="17" fillId="22" fontId="19" numFmtId="165" xfId="0" applyAlignment="1" applyBorder="1" applyFont="1" applyNumberFormat="1">
      <alignment horizontal="left" vertical="center"/>
    </xf>
    <xf borderId="17" fillId="19" fontId="17" numFmtId="0" xfId="0" applyAlignment="1" applyBorder="1" applyFont="1">
      <alignment horizontal="left" vertical="center"/>
    </xf>
    <xf borderId="17" fillId="19" fontId="18" numFmtId="165" xfId="0" applyAlignment="1" applyBorder="1" applyFont="1" applyNumberFormat="1">
      <alignment horizontal="left" vertical="center"/>
    </xf>
    <xf borderId="17" fillId="19" fontId="19" numFmtId="165" xfId="0" applyAlignment="1" applyBorder="1" applyFont="1" applyNumberFormat="1">
      <alignment horizontal="left" vertical="center"/>
    </xf>
    <xf borderId="34" fillId="19" fontId="19" numFmtId="165" xfId="0" applyAlignment="1" applyBorder="1" applyFont="1" applyNumberFormat="1">
      <alignment horizontal="left" vertical="center"/>
    </xf>
    <xf borderId="34" fillId="22" fontId="19" numFmtId="165" xfId="0" applyAlignment="1" applyBorder="1" applyFont="1" applyNumberFormat="1">
      <alignment horizontal="left" vertical="center"/>
    </xf>
    <xf borderId="71" fillId="0" fontId="4" numFmtId="0" xfId="0" applyBorder="1" applyFont="1"/>
    <xf borderId="72" fillId="0" fontId="4" numFmtId="0" xfId="0" applyBorder="1" applyFont="1"/>
    <xf borderId="28" fillId="0" fontId="2" numFmtId="0" xfId="0" applyBorder="1" applyFont="1"/>
    <xf borderId="7" fillId="2" fontId="6" numFmtId="0" xfId="0" applyAlignment="1" applyBorder="1" applyFont="1">
      <alignment horizontal="center" shrinkToFit="0" vertical="center" wrapText="1"/>
    </xf>
    <xf borderId="7" fillId="18" fontId="8" numFmtId="0" xfId="0" applyAlignment="1" applyBorder="1" applyFont="1">
      <alignment horizontal="center" shrinkToFit="0" vertical="center" wrapText="1"/>
    </xf>
    <xf borderId="37" fillId="18" fontId="8" numFmtId="0" xfId="0" applyAlignment="1" applyBorder="1" applyFont="1">
      <alignment horizontal="center" shrinkToFit="0" vertical="center" wrapText="1"/>
    </xf>
    <xf borderId="23" fillId="18" fontId="9" numFmtId="165" xfId="0" applyAlignment="1" applyBorder="1" applyFont="1" applyNumberFormat="1">
      <alignment horizontal="center" vertical="center"/>
    </xf>
    <xf borderId="23" fillId="0" fontId="2" numFmtId="0" xfId="0" applyAlignment="1" applyBorder="1" applyFont="1">
      <alignment horizontal="center" vertical="center"/>
    </xf>
    <xf borderId="38" fillId="0" fontId="10" numFmtId="0" xfId="0" applyAlignment="1" applyBorder="1" applyFont="1">
      <alignment horizontal="center"/>
    </xf>
    <xf borderId="39" fillId="23" fontId="16" numFmtId="0" xfId="0" applyAlignment="1" applyBorder="1" applyFill="1" applyFont="1">
      <alignment horizontal="center" shrinkToFit="0" vertical="center" wrapText="1"/>
    </xf>
    <xf borderId="40" fillId="24" fontId="6" numFmtId="0" xfId="0" applyAlignment="1" applyBorder="1" applyFill="1" applyFont="1">
      <alignment horizontal="center" shrinkToFit="0" vertical="center" wrapText="1"/>
    </xf>
    <xf borderId="17" fillId="15" fontId="17" numFmtId="0" xfId="0" applyBorder="1" applyFont="1"/>
    <xf borderId="17" fillId="15" fontId="18" numFmtId="168" xfId="0" applyBorder="1" applyFont="1" applyNumberFormat="1"/>
    <xf borderId="17" fillId="15" fontId="18" numFmtId="165" xfId="0" applyBorder="1" applyFont="1" applyNumberFormat="1"/>
    <xf borderId="17" fillId="15" fontId="17" numFmtId="165" xfId="0" applyBorder="1" applyFont="1" applyNumberFormat="1"/>
    <xf borderId="34" fillId="15" fontId="18" numFmtId="165" xfId="0" applyBorder="1" applyFont="1" applyNumberFormat="1"/>
    <xf borderId="17" fillId="4" fontId="17" numFmtId="0" xfId="0" applyBorder="1" applyFont="1"/>
    <xf borderId="17" fillId="4" fontId="18" numFmtId="165" xfId="0" applyBorder="1" applyFont="1" applyNumberFormat="1"/>
    <xf borderId="17" fillId="4" fontId="17" numFmtId="165" xfId="0" applyBorder="1" applyFont="1" applyNumberFormat="1"/>
    <xf borderId="17" fillId="25" fontId="17" numFmtId="0" xfId="0" applyBorder="1" applyFill="1" applyFont="1"/>
    <xf borderId="17" fillId="25" fontId="18" numFmtId="165" xfId="0" applyBorder="1" applyFont="1" applyNumberFormat="1"/>
    <xf borderId="17" fillId="25" fontId="17" numFmtId="165" xfId="0" applyBorder="1" applyFont="1" applyNumberFormat="1"/>
    <xf borderId="34" fillId="25" fontId="18" numFmtId="165" xfId="0" applyBorder="1" applyFont="1" applyNumberFormat="1"/>
    <xf borderId="17" fillId="25" fontId="17" numFmtId="0" xfId="0" applyAlignment="1" applyBorder="1" applyFont="1">
      <alignment horizontal="left" vertical="center"/>
    </xf>
    <xf borderId="40" fillId="26" fontId="6" numFmtId="0" xfId="0" applyAlignment="1" applyBorder="1" applyFill="1" applyFont="1">
      <alignment horizontal="center" shrinkToFit="0" vertical="center" wrapText="1"/>
    </xf>
    <xf borderId="34" fillId="4" fontId="18" numFmtId="165" xfId="0" applyBorder="1" applyFont="1" applyNumberFormat="1"/>
    <xf borderId="39" fillId="27" fontId="16" numFmtId="0" xfId="0" applyAlignment="1" applyBorder="1" applyFill="1" applyFont="1">
      <alignment horizontal="center" shrinkToFit="0" vertical="center" wrapText="1"/>
    </xf>
    <xf borderId="40" fillId="28" fontId="6" numFmtId="0" xfId="0" applyAlignment="1" applyBorder="1" applyFill="1" applyFont="1">
      <alignment horizontal="center" shrinkToFit="0" vertical="center" wrapText="1"/>
    </xf>
    <xf borderId="17" fillId="29" fontId="17" numFmtId="0" xfId="0" applyBorder="1" applyFill="1" applyFont="1"/>
    <xf borderId="17" fillId="29" fontId="18" numFmtId="168" xfId="0" applyBorder="1" applyFont="1" applyNumberFormat="1"/>
    <xf borderId="17" fillId="29" fontId="18" numFmtId="165" xfId="0" applyBorder="1" applyFont="1" applyNumberFormat="1"/>
    <xf borderId="17" fillId="29" fontId="19" numFmtId="165" xfId="0" applyBorder="1" applyFont="1" applyNumberFormat="1"/>
    <xf borderId="34" fillId="29" fontId="19" numFmtId="165" xfId="0" applyBorder="1" applyFont="1" applyNumberFormat="1"/>
    <xf borderId="17" fillId="30" fontId="17" numFmtId="0" xfId="0" applyBorder="1" applyFill="1" applyFont="1"/>
    <xf borderId="17" fillId="30" fontId="18" numFmtId="165" xfId="0" applyBorder="1" applyFont="1" applyNumberFormat="1"/>
    <xf borderId="17" fillId="30" fontId="19" numFmtId="165" xfId="0" applyBorder="1" applyFont="1" applyNumberFormat="1"/>
    <xf borderId="17" fillId="7" fontId="17" numFmtId="0" xfId="0" applyBorder="1" applyFont="1"/>
    <xf borderId="17" fillId="7" fontId="18" numFmtId="165" xfId="0" applyBorder="1" applyFont="1" applyNumberFormat="1"/>
    <xf borderId="17" fillId="7" fontId="19" numFmtId="165" xfId="0" applyBorder="1" applyFont="1" applyNumberFormat="1"/>
    <xf borderId="34" fillId="7" fontId="19" numFmtId="165" xfId="0" applyBorder="1" applyFont="1" applyNumberFormat="1"/>
    <xf borderId="17" fillId="29" fontId="17" numFmtId="0" xfId="0" applyAlignment="1" applyBorder="1" applyFont="1">
      <alignment horizontal="left" vertical="center"/>
    </xf>
    <xf borderId="17" fillId="30" fontId="17" numFmtId="0" xfId="0" applyAlignment="1" applyBorder="1" applyFont="1">
      <alignment horizontal="left" vertical="center"/>
    </xf>
    <xf borderId="17" fillId="7" fontId="17" numFmtId="0" xfId="0" applyAlignment="1" applyBorder="1" applyFont="1">
      <alignment horizontal="left" vertical="center"/>
    </xf>
    <xf borderId="73" fillId="0" fontId="4" numFmtId="0" xfId="0" applyBorder="1" applyFont="1"/>
    <xf borderId="5" fillId="18" fontId="27" numFmtId="0" xfId="0" applyAlignment="1" applyBorder="1" applyFont="1">
      <alignment horizontal="center" shrinkToFit="0" vertical="center" wrapText="1"/>
    </xf>
    <xf borderId="5" fillId="18" fontId="17" numFmtId="165" xfId="0" applyAlignment="1" applyBorder="1" applyFont="1" applyNumberFormat="1">
      <alignment horizontal="center" vertical="center"/>
    </xf>
    <xf borderId="10" fillId="3" fontId="17" numFmtId="0" xfId="0" applyAlignment="1" applyBorder="1" applyFont="1">
      <alignment horizontal="left"/>
    </xf>
    <xf borderId="10" fillId="3" fontId="17" numFmtId="165" xfId="0" applyAlignment="1" applyBorder="1" applyFont="1" applyNumberFormat="1">
      <alignment horizontal="center"/>
    </xf>
    <xf borderId="23" fillId="3" fontId="17" numFmtId="0" xfId="0" applyAlignment="1" applyBorder="1" applyFont="1">
      <alignment horizontal="left"/>
    </xf>
    <xf borderId="23" fillId="3" fontId="17" numFmtId="165" xfId="0" applyAlignment="1" applyBorder="1" applyFont="1" applyNumberFormat="1">
      <alignment horizontal="center"/>
    </xf>
    <xf borderId="7" fillId="18" fontId="27" numFmtId="0" xfId="0" applyAlignment="1" applyBorder="1" applyFont="1">
      <alignment horizontal="center" shrinkToFit="0" vertical="center" wrapText="1"/>
    </xf>
    <xf borderId="7" fillId="18" fontId="17" numFmtId="165" xfId="0" applyAlignment="1" applyBorder="1" applyFont="1" applyNumberFormat="1">
      <alignment horizontal="center" vertical="center"/>
    </xf>
    <xf borderId="23" fillId="7" fontId="17" numFmtId="0" xfId="0" applyAlignment="1" applyBorder="1" applyFont="1">
      <alignment horizontal="left"/>
    </xf>
    <xf borderId="23" fillId="7" fontId="17" numFmtId="165" xfId="0" applyAlignment="1" applyBorder="1" applyFont="1" applyNumberFormat="1">
      <alignment horizontal="center"/>
    </xf>
    <xf borderId="23" fillId="9" fontId="9" numFmtId="0" xfId="0" applyAlignment="1" applyBorder="1" applyFont="1">
      <alignment vertical="bottom"/>
    </xf>
    <xf borderId="23" fillId="10" fontId="12" numFmtId="0" xfId="0" applyAlignment="1" applyBorder="1" applyFont="1">
      <alignment vertical="bottom"/>
    </xf>
    <xf borderId="39" fillId="31" fontId="28" numFmtId="0" xfId="0" applyAlignment="1" applyBorder="1" applyFill="1" applyFont="1">
      <alignment horizontal="center" shrinkToFit="0" vertical="center" wrapText="1"/>
    </xf>
    <xf borderId="40" fillId="2" fontId="6" numFmtId="0" xfId="0" applyAlignment="1" applyBorder="1" applyFont="1">
      <alignment horizontal="center" shrinkToFit="0" vertical="center" wrapText="1"/>
    </xf>
    <xf borderId="17" fillId="15" fontId="17" numFmtId="0" xfId="0" applyAlignment="1" applyBorder="1" applyFont="1">
      <alignment vertical="center"/>
    </xf>
    <xf borderId="17" fillId="15" fontId="18" numFmtId="165" xfId="0" applyAlignment="1" applyBorder="1" applyFont="1" applyNumberFormat="1">
      <alignment vertical="center"/>
    </xf>
    <xf borderId="17" fillId="15" fontId="19" numFmtId="165" xfId="0" applyAlignment="1" applyBorder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center"/>
    </xf>
    <xf borderId="17" fillId="31" fontId="17" numFmtId="0" xfId="0" applyAlignment="1" applyBorder="1" applyFont="1">
      <alignment vertical="center"/>
    </xf>
    <xf borderId="17" fillId="31" fontId="18" numFmtId="165" xfId="0" applyAlignment="1" applyBorder="1" applyFont="1" applyNumberFormat="1">
      <alignment vertical="center"/>
    </xf>
    <xf borderId="17" fillId="31" fontId="19" numFmtId="165" xfId="0" applyAlignment="1" applyBorder="1" applyFont="1" applyNumberFormat="1">
      <alignment vertical="center"/>
    </xf>
    <xf borderId="5" fillId="8" fontId="6" numFmtId="0" xfId="0" applyAlignment="1" applyBorder="1" applyFont="1">
      <alignment horizontal="center" shrinkToFit="0" vertical="center" wrapText="1"/>
    </xf>
    <xf borderId="7" fillId="4" fontId="29" numFmtId="0" xfId="0" applyAlignment="1" applyBorder="1" applyFont="1">
      <alignment horizontal="center" shrinkToFit="0" vertical="center" wrapText="1"/>
    </xf>
    <xf borderId="7" fillId="3" fontId="10" numFmtId="165" xfId="0" applyAlignment="1" applyBorder="1" applyFont="1" applyNumberFormat="1">
      <alignment horizontal="center" vertical="center"/>
    </xf>
    <xf borderId="29" fillId="0" fontId="20" numFmtId="0" xfId="0" applyAlignment="1" applyBorder="1" applyFont="1">
      <alignment horizontal="center" vertical="center"/>
    </xf>
    <xf borderId="30" fillId="0" fontId="20" numFmtId="0" xfId="0" applyAlignment="1" applyBorder="1" applyFont="1">
      <alignment horizontal="center" vertical="center"/>
    </xf>
    <xf borderId="4" fillId="0" fontId="5" numFmtId="164" xfId="0" applyAlignment="1" applyBorder="1" applyFont="1" applyNumberFormat="1">
      <alignment horizontal="center" vertical="center"/>
    </xf>
    <xf borderId="74" fillId="8" fontId="6" numFmtId="0" xfId="0" applyAlignment="1" applyBorder="1" applyFont="1">
      <alignment horizontal="center" shrinkToFit="0" vertical="center" wrapText="1"/>
    </xf>
    <xf borderId="75" fillId="8" fontId="6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left"/>
    </xf>
    <xf borderId="17" fillId="0" fontId="9" numFmtId="165" xfId="0" applyAlignment="1" applyBorder="1" applyFont="1" applyNumberFormat="1">
      <alignment horizontal="center"/>
    </xf>
    <xf borderId="23" fillId="0" fontId="9" numFmtId="165" xfId="0" applyAlignment="1" applyBorder="1" applyFont="1" applyNumberFormat="1">
      <alignment horizontal="center"/>
    </xf>
    <xf borderId="37" fillId="12" fontId="30" numFmtId="0" xfId="0" applyAlignment="1" applyBorder="1" applyFont="1">
      <alignment horizontal="center" vertical="center"/>
    </xf>
    <xf borderId="17" fillId="12" fontId="30" numFmtId="0" xfId="0" applyAlignment="1" applyBorder="1" applyFont="1">
      <alignment horizontal="center" vertical="center"/>
    </xf>
    <xf borderId="34" fillId="12" fontId="30" numFmtId="0" xfId="0" applyAlignment="1" applyBorder="1" applyFont="1">
      <alignment horizontal="center" vertical="center"/>
    </xf>
    <xf borderId="45" fillId="32" fontId="31" numFmtId="0" xfId="0" applyAlignment="1" applyBorder="1" applyFill="1" applyFont="1">
      <alignment horizontal="center" shrinkToFit="0" vertical="center" wrapText="1"/>
    </xf>
    <xf borderId="17" fillId="33" fontId="17" numFmtId="0" xfId="0" applyAlignment="1" applyBorder="1" applyFill="1" applyFont="1">
      <alignment horizontal="left" vertical="center"/>
    </xf>
    <xf borderId="17" fillId="33" fontId="18" numFmtId="165" xfId="0" applyAlignment="1" applyBorder="1" applyFont="1" applyNumberFormat="1">
      <alignment horizontal="center" vertical="center"/>
    </xf>
    <xf borderId="17" fillId="33" fontId="17" numFmtId="165" xfId="0" applyAlignment="1" applyBorder="1" applyFont="1" applyNumberFormat="1">
      <alignment horizontal="center" vertical="center"/>
    </xf>
    <xf borderId="17" fillId="34" fontId="17" numFmtId="0" xfId="0" applyAlignment="1" applyBorder="1" applyFill="1" applyFont="1">
      <alignment horizontal="left" vertical="center"/>
    </xf>
    <xf borderId="17" fillId="34" fontId="18" numFmtId="165" xfId="0" applyAlignment="1" applyBorder="1" applyFont="1" applyNumberFormat="1">
      <alignment horizontal="center" vertical="center"/>
    </xf>
    <xf borderId="17" fillId="34" fontId="17" numFmtId="165" xfId="0" applyAlignment="1" applyBorder="1" applyFont="1" applyNumberFormat="1">
      <alignment horizontal="center" vertical="center"/>
    </xf>
    <xf borderId="17" fillId="35" fontId="17" numFmtId="0" xfId="0" applyAlignment="1" applyBorder="1" applyFill="1" applyFont="1">
      <alignment horizontal="left" vertical="center"/>
    </xf>
    <xf borderId="17" fillId="35" fontId="18" numFmtId="165" xfId="0" applyAlignment="1" applyBorder="1" applyFont="1" applyNumberFormat="1">
      <alignment horizontal="center" vertical="center"/>
    </xf>
    <xf borderId="17" fillId="35" fontId="17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161925</xdr:rowOff>
    </xdr:from>
    <xdr:ext cx="1990725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161925</xdr:rowOff>
    </xdr:from>
    <xdr:ext cx="1990725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161925</xdr:rowOff>
    </xdr:from>
    <xdr:ext cx="1990725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161925</xdr:rowOff>
    </xdr:from>
    <xdr:ext cx="1990725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</xdr:row>
      <xdr:rowOff>0</xdr:rowOff>
    </xdr:from>
    <xdr:ext cx="2228850" cy="790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171450</xdr:rowOff>
    </xdr:from>
    <xdr:ext cx="2143125" cy="7905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171450</xdr:rowOff>
    </xdr:from>
    <xdr:ext cx="2124075" cy="762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</xdr:row>
      <xdr:rowOff>19050</xdr:rowOff>
    </xdr:from>
    <xdr:ext cx="2171700" cy="7620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F49100"/>
      </a:folHlink>
    </a:clrScheme>
    <a:fontScheme name="Sheets">
      <a:majorFont>
        <a:latin typeface="Candara"/>
        <a:ea typeface="Candara"/>
        <a:cs typeface="Candara"/>
      </a:majorFont>
      <a:minorFont>
        <a:latin typeface="Candara"/>
        <a:ea typeface="Candara"/>
        <a:cs typeface="Candar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7.5"/>
    <col customWidth="1" min="3" max="3" width="14.88"/>
    <col customWidth="1" min="4" max="4" width="7.5"/>
    <col customWidth="1" min="5" max="5" width="8.0"/>
    <col customWidth="1" min="6" max="18" width="7.5"/>
    <col customWidth="1" min="19" max="19" width="8.5"/>
    <col customWidth="1" min="20" max="22" width="7.5"/>
    <col customWidth="1" min="23" max="23" width="8.25"/>
    <col customWidth="1" min="24" max="26" width="7.5"/>
    <col customWidth="1" min="27" max="27" width="8.5"/>
    <col customWidth="1" min="28" max="28" width="11.0"/>
    <col customWidth="1" min="29" max="29" width="7.88"/>
    <col customWidth="1" min="30" max="30" width="0.88"/>
    <col customWidth="1" min="31" max="31" width="15.5"/>
    <col customWidth="1" min="32" max="41" width="7.88"/>
  </cols>
  <sheetData>
    <row r="1" ht="15.0" customHeight="1">
      <c r="A1" s="1" t="s">
        <v>0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.0" customHeight="1"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15.0" customHeight="1"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15.0" customHeight="1"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ht="15.0" customHeight="1"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ht="15.0" customHeight="1"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ht="15.75" customHeight="1">
      <c r="A7" s="3" t="s">
        <v>1</v>
      </c>
      <c r="B7" s="4"/>
      <c r="C7" s="5">
        <v>120.0</v>
      </c>
      <c r="D7" s="6"/>
      <c r="E7" s="6"/>
      <c r="F7" s="7" t="s">
        <v>2</v>
      </c>
      <c r="G7" s="8"/>
      <c r="H7" s="9" t="str">
        <f>A18</f>
        <v>PREMIUM</v>
      </c>
      <c r="I7" s="10"/>
      <c r="J7" s="11" t="str">
        <f>B18</f>
        <v>SPEAKING</v>
      </c>
      <c r="K7" s="12"/>
      <c r="L7" s="12"/>
      <c r="M7" s="4"/>
      <c r="N7" s="13">
        <v>1400.0</v>
      </c>
      <c r="O7" s="4"/>
      <c r="P7" s="6"/>
      <c r="Q7" s="6"/>
      <c r="R7" s="14" t="s">
        <v>3</v>
      </c>
      <c r="S7" s="12"/>
      <c r="T7" s="4"/>
      <c r="U7" s="15" t="s">
        <v>4</v>
      </c>
      <c r="V7" s="16"/>
      <c r="W7" s="16"/>
      <c r="X7" s="17"/>
      <c r="Y7" s="18">
        <v>1400.0</v>
      </c>
      <c r="Z7" s="16"/>
      <c r="AA7" s="19"/>
      <c r="AB7" s="20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ht="15.75" customHeight="1">
      <c r="A8" s="21"/>
      <c r="B8" s="22"/>
      <c r="C8" s="23"/>
      <c r="D8" s="24"/>
      <c r="E8" s="24"/>
      <c r="F8" s="25"/>
      <c r="G8" s="26"/>
      <c r="H8" s="25"/>
      <c r="I8" s="22"/>
      <c r="J8" s="27"/>
      <c r="K8" s="28"/>
      <c r="L8" s="28"/>
      <c r="M8" s="29"/>
      <c r="N8" s="27"/>
      <c r="O8" s="29"/>
      <c r="P8" s="24"/>
      <c r="Q8" s="24"/>
      <c r="R8" s="25"/>
      <c r="T8" s="22"/>
      <c r="U8" s="30" t="s">
        <v>5</v>
      </c>
      <c r="V8" s="31"/>
      <c r="W8" s="31"/>
      <c r="X8" s="32"/>
      <c r="Y8" s="33">
        <v>970.0</v>
      </c>
      <c r="Z8" s="31"/>
      <c r="AA8" s="34"/>
      <c r="AB8" s="20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ht="15.75" customHeight="1">
      <c r="A9" s="21"/>
      <c r="B9" s="22"/>
      <c r="C9" s="23"/>
      <c r="D9" s="24"/>
      <c r="E9" s="24"/>
      <c r="F9" s="25"/>
      <c r="G9" s="26"/>
      <c r="H9" s="25"/>
      <c r="I9" s="22"/>
      <c r="J9" s="11" t="str">
        <f>B24</f>
        <v>JUNIOR SPEAKING</v>
      </c>
      <c r="K9" s="12"/>
      <c r="L9" s="12"/>
      <c r="M9" s="4"/>
      <c r="N9" s="13">
        <v>1400.0</v>
      </c>
      <c r="O9" s="4"/>
      <c r="P9" s="35"/>
      <c r="Q9" s="36"/>
      <c r="R9" s="37"/>
      <c r="S9" s="38"/>
      <c r="T9" s="39"/>
      <c r="U9" s="30" t="s">
        <v>6</v>
      </c>
      <c r="V9" s="31"/>
      <c r="W9" s="31"/>
      <c r="X9" s="32"/>
      <c r="Y9" s="33">
        <v>810.0</v>
      </c>
      <c r="Z9" s="31"/>
      <c r="AA9" s="34"/>
      <c r="AB9" s="20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ht="15.75" customHeight="1">
      <c r="A10" s="21"/>
      <c r="B10" s="22"/>
      <c r="C10" s="23"/>
      <c r="D10" s="24"/>
      <c r="E10" s="24"/>
      <c r="F10" s="25"/>
      <c r="G10" s="26"/>
      <c r="H10" s="37"/>
      <c r="I10" s="39"/>
      <c r="J10" s="37"/>
      <c r="K10" s="38"/>
      <c r="L10" s="38"/>
      <c r="M10" s="39"/>
      <c r="N10" s="27"/>
      <c r="O10" s="29"/>
      <c r="P10" s="40"/>
      <c r="Q10" s="24"/>
      <c r="R10" s="41" t="s">
        <v>7</v>
      </c>
      <c r="S10" s="42"/>
      <c r="T10" s="10"/>
      <c r="U10" s="43" t="s">
        <v>8</v>
      </c>
      <c r="V10" s="31"/>
      <c r="W10" s="31"/>
      <c r="X10" s="32"/>
      <c r="Y10" s="44">
        <v>1690.0</v>
      </c>
      <c r="Z10" s="31"/>
      <c r="AA10" s="34"/>
      <c r="AB10" s="20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ht="15.75" customHeight="1">
      <c r="A11" s="21"/>
      <c r="B11" s="22"/>
      <c r="C11" s="23"/>
      <c r="D11" s="45"/>
      <c r="E11" s="46"/>
      <c r="F11" s="25"/>
      <c r="G11" s="26"/>
      <c r="H11" s="9" t="s">
        <v>9</v>
      </c>
      <c r="I11" s="10"/>
      <c r="J11" s="47" t="str">
        <f>B30</f>
        <v>BOOSTER SPEAKING</v>
      </c>
      <c r="K11" s="42"/>
      <c r="L11" s="42"/>
      <c r="M11" s="10"/>
      <c r="N11" s="48">
        <v>1400.0</v>
      </c>
      <c r="O11" s="10"/>
      <c r="P11" s="24"/>
      <c r="Q11" s="24"/>
      <c r="R11" s="25"/>
      <c r="T11" s="22"/>
      <c r="U11" s="43" t="s">
        <v>10</v>
      </c>
      <c r="V11" s="31"/>
      <c r="W11" s="31"/>
      <c r="X11" s="32"/>
      <c r="Y11" s="44">
        <v>1100.0</v>
      </c>
      <c r="Z11" s="31"/>
      <c r="AA11" s="34"/>
      <c r="AB11" s="20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ht="15.75" customHeight="1">
      <c r="A12" s="49"/>
      <c r="B12" s="39"/>
      <c r="C12" s="50"/>
      <c r="D12" s="45"/>
      <c r="E12" s="46"/>
      <c r="F12" s="25"/>
      <c r="G12" s="26"/>
      <c r="H12" s="25"/>
      <c r="I12" s="22"/>
      <c r="J12" s="25"/>
      <c r="M12" s="22"/>
      <c r="N12" s="25"/>
      <c r="O12" s="22"/>
      <c r="P12" s="24"/>
      <c r="Q12" s="24"/>
      <c r="R12" s="37"/>
      <c r="S12" s="38"/>
      <c r="T12" s="39"/>
      <c r="U12" s="43" t="s">
        <v>11</v>
      </c>
      <c r="V12" s="31"/>
      <c r="W12" s="31"/>
      <c r="X12" s="32"/>
      <c r="Y12" s="44">
        <v>890.0</v>
      </c>
      <c r="Z12" s="31"/>
      <c r="AA12" s="34"/>
      <c r="AB12" s="20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ht="25.5" customHeight="1">
      <c r="A13" s="51"/>
      <c r="B13" s="24"/>
      <c r="C13" s="24"/>
      <c r="D13" s="24"/>
      <c r="E13" s="24"/>
      <c r="F13" s="37"/>
      <c r="G13" s="52"/>
      <c r="H13" s="37"/>
      <c r="I13" s="39"/>
      <c r="J13" s="37"/>
      <c r="K13" s="38"/>
      <c r="L13" s="38"/>
      <c r="M13" s="39"/>
      <c r="N13" s="37"/>
      <c r="O13" s="39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53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ht="15.0" customHeight="1">
      <c r="A14" s="51"/>
      <c r="B14" s="24"/>
      <c r="C14" s="24"/>
      <c r="D14" s="24"/>
      <c r="E14" s="24"/>
      <c r="F14" s="24"/>
      <c r="G14" s="24"/>
      <c r="H14" s="24"/>
      <c r="I14" s="24"/>
      <c r="J14" s="54"/>
      <c r="K14" s="55"/>
      <c r="L14" s="55"/>
      <c r="M14" s="56"/>
      <c r="N14" s="57"/>
      <c r="O14" s="56"/>
      <c r="P14" s="24"/>
      <c r="Q14" s="24"/>
      <c r="R14" s="58" t="s">
        <v>12</v>
      </c>
      <c r="S14" s="31"/>
      <c r="T14" s="31"/>
      <c r="U14" s="32"/>
      <c r="V14" s="59" t="s">
        <v>13</v>
      </c>
      <c r="W14" s="31"/>
      <c r="X14" s="32"/>
      <c r="Y14" s="60" t="s">
        <v>14</v>
      </c>
      <c r="Z14" s="32"/>
      <c r="AA14" s="53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ht="16.5" customHeight="1">
      <c r="A15" s="51"/>
      <c r="B15" s="24"/>
      <c r="C15" s="24"/>
      <c r="D15" s="61">
        <v>0.45</v>
      </c>
      <c r="E15" s="61">
        <v>0.65</v>
      </c>
      <c r="F15" s="61">
        <v>0.85</v>
      </c>
      <c r="G15" s="24"/>
      <c r="H15" s="62"/>
      <c r="I15" s="6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53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ht="24.0" customHeight="1">
      <c r="A16" s="64" t="s">
        <v>15</v>
      </c>
      <c r="B16" s="32"/>
      <c r="C16" s="65" t="s">
        <v>16</v>
      </c>
      <c r="D16" s="65" t="s">
        <v>17</v>
      </c>
      <c r="E16" s="65" t="s">
        <v>18</v>
      </c>
      <c r="F16" s="65" t="s">
        <v>19</v>
      </c>
      <c r="G16" s="65" t="s">
        <v>20</v>
      </c>
      <c r="H16" s="65" t="s">
        <v>21</v>
      </c>
      <c r="I16" s="65" t="s">
        <v>22</v>
      </c>
      <c r="J16" s="65" t="s">
        <v>23</v>
      </c>
      <c r="K16" s="65" t="s">
        <v>24</v>
      </c>
      <c r="L16" s="65" t="s">
        <v>25</v>
      </c>
      <c r="M16" s="65" t="s">
        <v>26</v>
      </c>
      <c r="N16" s="65" t="s">
        <v>27</v>
      </c>
      <c r="O16" s="65" t="s">
        <v>28</v>
      </c>
      <c r="P16" s="65" t="s">
        <v>29</v>
      </c>
      <c r="Q16" s="65" t="s">
        <v>30</v>
      </c>
      <c r="R16" s="65" t="s">
        <v>31</v>
      </c>
      <c r="S16" s="65" t="s">
        <v>32</v>
      </c>
      <c r="T16" s="65" t="s">
        <v>33</v>
      </c>
      <c r="U16" s="65" t="s">
        <v>34</v>
      </c>
      <c r="V16" s="65" t="s">
        <v>35</v>
      </c>
      <c r="W16" s="65" t="s">
        <v>36</v>
      </c>
      <c r="X16" s="65" t="s">
        <v>37</v>
      </c>
      <c r="Y16" s="65" t="s">
        <v>38</v>
      </c>
      <c r="Z16" s="65" t="s">
        <v>39</v>
      </c>
      <c r="AA16" s="66" t="s">
        <v>40</v>
      </c>
      <c r="AB16" s="67"/>
      <c r="AC16" s="67"/>
      <c r="AD16" s="67"/>
      <c r="AE16" s="68" t="s">
        <v>41</v>
      </c>
      <c r="AF16" s="69"/>
      <c r="AG16" s="69"/>
      <c r="AH16" s="69"/>
      <c r="AI16" s="69"/>
      <c r="AJ16" s="70"/>
      <c r="AK16" s="68" t="s">
        <v>42</v>
      </c>
      <c r="AL16" s="69"/>
      <c r="AM16" s="69"/>
      <c r="AN16" s="69"/>
      <c r="AO16" s="69"/>
    </row>
    <row r="17" ht="4.5" customHeight="1">
      <c r="A17" s="7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ht="21.75" customHeight="1">
      <c r="A18" s="72" t="s">
        <v>43</v>
      </c>
      <c r="B18" s="73" t="s">
        <v>44</v>
      </c>
      <c r="C18" s="74" t="s">
        <v>4</v>
      </c>
      <c r="D18" s="75">
        <v>0.0</v>
      </c>
      <c r="E18" s="76">
        <v>0.0</v>
      </c>
      <c r="F18" s="76">
        <v>0.0</v>
      </c>
      <c r="G18" s="77">
        <v>0.0</v>
      </c>
      <c r="H18" s="76">
        <v>0.0</v>
      </c>
      <c r="I18" s="76">
        <f t="shared" ref="I18:I29" si="1">G18+(G18*0.5)</f>
        <v>0</v>
      </c>
      <c r="J18" s="76">
        <v>0.0</v>
      </c>
      <c r="K18" s="77">
        <f>(N7+Y7)*2</f>
        <v>5600</v>
      </c>
      <c r="L18" s="76">
        <v>0.0</v>
      </c>
      <c r="M18" s="76">
        <v>0.0</v>
      </c>
      <c r="N18" s="76">
        <v>0.0</v>
      </c>
      <c r="O18" s="77">
        <f t="shared" ref="O18:O23" si="2">G18*3</f>
        <v>0</v>
      </c>
      <c r="P18" s="76">
        <f t="shared" ref="P18:P23" si="3">O18+(G18*0.25)</f>
        <v>0</v>
      </c>
      <c r="Q18" s="76">
        <f t="shared" ref="Q18:Q23" si="4">O18+(G18*0.5)</f>
        <v>0</v>
      </c>
      <c r="R18" s="76">
        <f t="shared" ref="R18:R23" si="5">O18+(G18*0.75)</f>
        <v>0</v>
      </c>
      <c r="S18" s="77">
        <f t="shared" ref="S18:S23" si="6">G18*4</f>
        <v>0</v>
      </c>
      <c r="T18" s="76">
        <f t="shared" ref="T18:T23" si="7">S18+(G18*0.25)</f>
        <v>0</v>
      </c>
      <c r="U18" s="76">
        <f t="shared" ref="U18:U23" si="8">S18+(G18*0.5)</f>
        <v>0</v>
      </c>
      <c r="V18" s="76">
        <f t="shared" ref="V18:V23" si="9">S18+(G18*0.75)</f>
        <v>0</v>
      </c>
      <c r="W18" s="77">
        <f t="shared" ref="W18:W23" si="10">G18*5</f>
        <v>0</v>
      </c>
      <c r="X18" s="76">
        <f t="shared" ref="X18:X23" si="11">W18+(G18*0.25)</f>
        <v>0</v>
      </c>
      <c r="Y18" s="76">
        <f t="shared" ref="Y18:Y23" si="12">W18+(G18*0.5)</f>
        <v>0</v>
      </c>
      <c r="Z18" s="76">
        <f t="shared" ref="Z18:Z23" si="13">W18+(G18*0.75)</f>
        <v>0</v>
      </c>
      <c r="AA18" s="78">
        <f t="shared" ref="AA18:AA23" si="14">G18*6</f>
        <v>0</v>
      </c>
      <c r="AB18" s="79"/>
      <c r="AC18" s="79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</row>
    <row r="19" ht="21.75" customHeight="1">
      <c r="A19" s="81"/>
      <c r="B19" s="23"/>
      <c r="C19" s="82" t="s">
        <v>45</v>
      </c>
      <c r="D19" s="83">
        <v>0.0</v>
      </c>
      <c r="E19" s="83">
        <v>0.0</v>
      </c>
      <c r="F19" s="83">
        <v>0.0</v>
      </c>
      <c r="G19" s="84">
        <v>0.0</v>
      </c>
      <c r="H19" s="83">
        <v>0.0</v>
      </c>
      <c r="I19" s="83">
        <f t="shared" si="1"/>
        <v>0</v>
      </c>
      <c r="J19" s="83">
        <f t="shared" ref="J19:J23" si="15">G19+(G19*0.75)</f>
        <v>0</v>
      </c>
      <c r="K19" s="84">
        <f>(N7+Y8)*2</f>
        <v>4740</v>
      </c>
      <c r="L19" s="83">
        <v>0.0</v>
      </c>
      <c r="M19" s="83">
        <v>0.0</v>
      </c>
      <c r="N19" s="83">
        <v>0.0</v>
      </c>
      <c r="O19" s="84">
        <f t="shared" si="2"/>
        <v>0</v>
      </c>
      <c r="P19" s="83">
        <f t="shared" si="3"/>
        <v>0</v>
      </c>
      <c r="Q19" s="83">
        <f t="shared" si="4"/>
        <v>0</v>
      </c>
      <c r="R19" s="83">
        <f t="shared" si="5"/>
        <v>0</v>
      </c>
      <c r="S19" s="84">
        <f t="shared" si="6"/>
        <v>0</v>
      </c>
      <c r="T19" s="83">
        <f t="shared" si="7"/>
        <v>0</v>
      </c>
      <c r="U19" s="83">
        <f t="shared" si="8"/>
        <v>0</v>
      </c>
      <c r="V19" s="83">
        <f t="shared" si="9"/>
        <v>0</v>
      </c>
      <c r="W19" s="84">
        <f t="shared" si="10"/>
        <v>0</v>
      </c>
      <c r="X19" s="83">
        <f t="shared" si="11"/>
        <v>0</v>
      </c>
      <c r="Y19" s="83">
        <f t="shared" si="12"/>
        <v>0</v>
      </c>
      <c r="Z19" s="83">
        <f t="shared" si="13"/>
        <v>0</v>
      </c>
      <c r="AA19" s="84">
        <f t="shared" si="14"/>
        <v>0</v>
      </c>
      <c r="AB19" s="79"/>
      <c r="AC19" s="79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</row>
    <row r="20" ht="21.75" customHeight="1">
      <c r="A20" s="81"/>
      <c r="B20" s="23"/>
      <c r="C20" s="85" t="s">
        <v>6</v>
      </c>
      <c r="D20" s="86">
        <v>0.0</v>
      </c>
      <c r="E20" s="86">
        <v>0.0</v>
      </c>
      <c r="F20" s="86">
        <v>0.0</v>
      </c>
      <c r="G20" s="87">
        <v>0.0</v>
      </c>
      <c r="H20" s="86">
        <f t="shared" ref="H20:H29" si="16">G20+(G20*0.25)</f>
        <v>0</v>
      </c>
      <c r="I20" s="86">
        <f t="shared" si="1"/>
        <v>0</v>
      </c>
      <c r="J20" s="86">
        <f t="shared" si="15"/>
        <v>0</v>
      </c>
      <c r="K20" s="87">
        <v>4420.0</v>
      </c>
      <c r="L20" s="86">
        <v>0.0</v>
      </c>
      <c r="M20" s="86">
        <v>0.0</v>
      </c>
      <c r="N20" s="86">
        <v>0.0</v>
      </c>
      <c r="O20" s="87">
        <f t="shared" si="2"/>
        <v>0</v>
      </c>
      <c r="P20" s="86">
        <f t="shared" si="3"/>
        <v>0</v>
      </c>
      <c r="Q20" s="86">
        <f t="shared" si="4"/>
        <v>0</v>
      </c>
      <c r="R20" s="86">
        <f t="shared" si="5"/>
        <v>0</v>
      </c>
      <c r="S20" s="87">
        <f t="shared" si="6"/>
        <v>0</v>
      </c>
      <c r="T20" s="86">
        <f t="shared" si="7"/>
        <v>0</v>
      </c>
      <c r="U20" s="86">
        <f t="shared" si="8"/>
        <v>0</v>
      </c>
      <c r="V20" s="86">
        <f t="shared" si="9"/>
        <v>0</v>
      </c>
      <c r="W20" s="87">
        <f t="shared" si="10"/>
        <v>0</v>
      </c>
      <c r="X20" s="86">
        <f t="shared" si="11"/>
        <v>0</v>
      </c>
      <c r="Y20" s="86">
        <f t="shared" si="12"/>
        <v>0</v>
      </c>
      <c r="Z20" s="86">
        <f t="shared" si="13"/>
        <v>0</v>
      </c>
      <c r="AA20" s="88">
        <f t="shared" si="14"/>
        <v>0</v>
      </c>
      <c r="AB20" s="79"/>
      <c r="AC20" s="79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</row>
    <row r="21" ht="21.75" customHeight="1">
      <c r="A21" s="81"/>
      <c r="B21" s="23"/>
      <c r="C21" s="74" t="s">
        <v>8</v>
      </c>
      <c r="D21" s="76">
        <v>0.0</v>
      </c>
      <c r="E21" s="76">
        <v>0.0</v>
      </c>
      <c r="F21" s="76">
        <v>0.0</v>
      </c>
      <c r="G21" s="77">
        <v>0.0</v>
      </c>
      <c r="H21" s="76">
        <f t="shared" si="16"/>
        <v>0</v>
      </c>
      <c r="I21" s="76">
        <f t="shared" si="1"/>
        <v>0</v>
      </c>
      <c r="J21" s="76">
        <f t="shared" si="15"/>
        <v>0</v>
      </c>
      <c r="K21" s="89">
        <v>6180.0</v>
      </c>
      <c r="L21" s="76">
        <v>0.0</v>
      </c>
      <c r="M21" s="76">
        <v>0.0</v>
      </c>
      <c r="N21" s="76">
        <v>0.0</v>
      </c>
      <c r="O21" s="77">
        <f t="shared" si="2"/>
        <v>0</v>
      </c>
      <c r="P21" s="76">
        <f t="shared" si="3"/>
        <v>0</v>
      </c>
      <c r="Q21" s="76">
        <f t="shared" si="4"/>
        <v>0</v>
      </c>
      <c r="R21" s="76">
        <f t="shared" si="5"/>
        <v>0</v>
      </c>
      <c r="S21" s="77">
        <f t="shared" si="6"/>
        <v>0</v>
      </c>
      <c r="T21" s="76">
        <f t="shared" si="7"/>
        <v>0</v>
      </c>
      <c r="U21" s="76">
        <f t="shared" si="8"/>
        <v>0</v>
      </c>
      <c r="V21" s="76">
        <f t="shared" si="9"/>
        <v>0</v>
      </c>
      <c r="W21" s="77">
        <f t="shared" si="10"/>
        <v>0</v>
      </c>
      <c r="X21" s="76">
        <f t="shared" si="11"/>
        <v>0</v>
      </c>
      <c r="Y21" s="76">
        <f t="shared" si="12"/>
        <v>0</v>
      </c>
      <c r="Z21" s="76">
        <f t="shared" si="13"/>
        <v>0</v>
      </c>
      <c r="AA21" s="78">
        <f t="shared" si="14"/>
        <v>0</v>
      </c>
      <c r="AB21" s="79"/>
      <c r="AC21" s="79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</row>
    <row r="22" ht="21.75" customHeight="1">
      <c r="A22" s="81"/>
      <c r="B22" s="23"/>
      <c r="C22" s="82" t="s">
        <v>46</v>
      </c>
      <c r="D22" s="83">
        <v>0.0</v>
      </c>
      <c r="E22" s="83">
        <v>0.0</v>
      </c>
      <c r="F22" s="83">
        <v>0.0</v>
      </c>
      <c r="G22" s="84">
        <v>0.0</v>
      </c>
      <c r="H22" s="83">
        <f t="shared" si="16"/>
        <v>0</v>
      </c>
      <c r="I22" s="83">
        <f t="shared" si="1"/>
        <v>0</v>
      </c>
      <c r="J22" s="83">
        <f t="shared" si="15"/>
        <v>0</v>
      </c>
      <c r="K22" s="84">
        <v>5000.0</v>
      </c>
      <c r="L22" s="83">
        <v>0.0</v>
      </c>
      <c r="M22" s="83">
        <v>0.0</v>
      </c>
      <c r="N22" s="83">
        <v>0.0</v>
      </c>
      <c r="O22" s="84">
        <f t="shared" si="2"/>
        <v>0</v>
      </c>
      <c r="P22" s="83">
        <f t="shared" si="3"/>
        <v>0</v>
      </c>
      <c r="Q22" s="83">
        <f t="shared" si="4"/>
        <v>0</v>
      </c>
      <c r="R22" s="83">
        <f t="shared" si="5"/>
        <v>0</v>
      </c>
      <c r="S22" s="84">
        <f t="shared" si="6"/>
        <v>0</v>
      </c>
      <c r="T22" s="83">
        <f t="shared" si="7"/>
        <v>0</v>
      </c>
      <c r="U22" s="83">
        <f t="shared" si="8"/>
        <v>0</v>
      </c>
      <c r="V22" s="83">
        <f t="shared" si="9"/>
        <v>0</v>
      </c>
      <c r="W22" s="84">
        <f t="shared" si="10"/>
        <v>0</v>
      </c>
      <c r="X22" s="83">
        <f t="shared" si="11"/>
        <v>0</v>
      </c>
      <c r="Y22" s="83">
        <f t="shared" si="12"/>
        <v>0</v>
      </c>
      <c r="Z22" s="83">
        <f t="shared" si="13"/>
        <v>0</v>
      </c>
      <c r="AA22" s="90">
        <f t="shared" si="14"/>
        <v>0</v>
      </c>
      <c r="AB22" s="79"/>
      <c r="AC22" s="79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</row>
    <row r="23" ht="21.75" customHeight="1">
      <c r="A23" s="81"/>
      <c r="B23" s="50"/>
      <c r="C23" s="85" t="s">
        <v>11</v>
      </c>
      <c r="D23" s="86">
        <v>0.0</v>
      </c>
      <c r="E23" s="86">
        <v>0.0</v>
      </c>
      <c r="F23" s="86">
        <v>0.0</v>
      </c>
      <c r="G23" s="87">
        <v>0.0</v>
      </c>
      <c r="H23" s="86">
        <f t="shared" si="16"/>
        <v>0</v>
      </c>
      <c r="I23" s="86">
        <f t="shared" si="1"/>
        <v>0</v>
      </c>
      <c r="J23" s="86">
        <f t="shared" si="15"/>
        <v>0</v>
      </c>
      <c r="K23" s="87">
        <v>4580.0</v>
      </c>
      <c r="L23" s="86">
        <v>0.0</v>
      </c>
      <c r="M23" s="86">
        <v>0.0</v>
      </c>
      <c r="N23" s="86">
        <v>0.0</v>
      </c>
      <c r="O23" s="87">
        <f t="shared" si="2"/>
        <v>0</v>
      </c>
      <c r="P23" s="86">
        <f t="shared" si="3"/>
        <v>0</v>
      </c>
      <c r="Q23" s="86">
        <f t="shared" si="4"/>
        <v>0</v>
      </c>
      <c r="R23" s="86">
        <f t="shared" si="5"/>
        <v>0</v>
      </c>
      <c r="S23" s="87">
        <f t="shared" si="6"/>
        <v>0</v>
      </c>
      <c r="T23" s="86">
        <f t="shared" si="7"/>
        <v>0</v>
      </c>
      <c r="U23" s="86">
        <f t="shared" si="8"/>
        <v>0</v>
      </c>
      <c r="V23" s="86">
        <f t="shared" si="9"/>
        <v>0</v>
      </c>
      <c r="W23" s="87">
        <f t="shared" si="10"/>
        <v>0</v>
      </c>
      <c r="X23" s="86">
        <f t="shared" si="11"/>
        <v>0</v>
      </c>
      <c r="Y23" s="86">
        <f t="shared" si="12"/>
        <v>0</v>
      </c>
      <c r="Z23" s="86">
        <f t="shared" si="13"/>
        <v>0</v>
      </c>
      <c r="AA23" s="88">
        <f t="shared" si="14"/>
        <v>0</v>
      </c>
      <c r="AB23" s="79"/>
      <c r="AC23" s="79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</row>
    <row r="24" ht="21.75" customHeight="1">
      <c r="A24" s="81"/>
      <c r="B24" s="73" t="s">
        <v>47</v>
      </c>
      <c r="C24" s="74" t="s">
        <v>4</v>
      </c>
      <c r="D24" s="76">
        <v>0.0</v>
      </c>
      <c r="E24" s="76">
        <v>0.0</v>
      </c>
      <c r="F24" s="76">
        <v>0.0</v>
      </c>
      <c r="G24" s="77">
        <f>N9+Y7</f>
        <v>2800</v>
      </c>
      <c r="H24" s="76">
        <f t="shared" si="16"/>
        <v>3500</v>
      </c>
      <c r="I24" s="76">
        <f t="shared" si="1"/>
        <v>4200</v>
      </c>
      <c r="J24" s="76">
        <v>0.0</v>
      </c>
      <c r="K24" s="77">
        <v>0.0</v>
      </c>
      <c r="L24" s="76">
        <v>0.0</v>
      </c>
      <c r="M24" s="76">
        <v>0.0</v>
      </c>
      <c r="N24" s="76">
        <v>0.0</v>
      </c>
      <c r="O24" s="77">
        <v>0.0</v>
      </c>
      <c r="P24" s="76">
        <v>0.0</v>
      </c>
      <c r="Q24" s="76">
        <v>0.0</v>
      </c>
      <c r="R24" s="76">
        <v>0.0</v>
      </c>
      <c r="S24" s="77">
        <v>0.0</v>
      </c>
      <c r="T24" s="76">
        <v>0.0</v>
      </c>
      <c r="U24" s="76">
        <v>0.0</v>
      </c>
      <c r="V24" s="76">
        <v>0.0</v>
      </c>
      <c r="W24" s="77">
        <v>0.0</v>
      </c>
      <c r="X24" s="76">
        <v>0.0</v>
      </c>
      <c r="Y24" s="76">
        <v>0.0</v>
      </c>
      <c r="Z24" s="76">
        <v>0.0</v>
      </c>
      <c r="AA24" s="77">
        <v>0.0</v>
      </c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</row>
    <row r="25" ht="21.75" customHeight="1">
      <c r="A25" s="81"/>
      <c r="B25" s="23"/>
      <c r="C25" s="82" t="s">
        <v>45</v>
      </c>
      <c r="D25" s="83">
        <v>0.0</v>
      </c>
      <c r="E25" s="83">
        <v>0.0</v>
      </c>
      <c r="F25" s="83">
        <v>0.0</v>
      </c>
      <c r="G25" s="84">
        <f>N9+Y8</f>
        <v>2370</v>
      </c>
      <c r="H25" s="83">
        <f t="shared" si="16"/>
        <v>2962.5</v>
      </c>
      <c r="I25" s="83">
        <f t="shared" si="1"/>
        <v>3555</v>
      </c>
      <c r="J25" s="83">
        <v>0.0</v>
      </c>
      <c r="K25" s="84">
        <v>0.0</v>
      </c>
      <c r="L25" s="91" t="s">
        <v>48</v>
      </c>
      <c r="M25" s="83">
        <v>0.0</v>
      </c>
      <c r="N25" s="83">
        <v>0.0</v>
      </c>
      <c r="O25" s="84">
        <v>0.0</v>
      </c>
      <c r="P25" s="83">
        <v>0.0</v>
      </c>
      <c r="Q25" s="83">
        <v>0.0</v>
      </c>
      <c r="R25" s="83">
        <v>0.0</v>
      </c>
      <c r="S25" s="84">
        <v>0.0</v>
      </c>
      <c r="T25" s="83">
        <v>0.0</v>
      </c>
      <c r="U25" s="83">
        <v>0.0</v>
      </c>
      <c r="V25" s="83">
        <v>0.0</v>
      </c>
      <c r="W25" s="84">
        <v>0.0</v>
      </c>
      <c r="X25" s="83">
        <v>0.0</v>
      </c>
      <c r="Y25" s="83">
        <v>0.0</v>
      </c>
      <c r="Z25" s="83">
        <v>0.0</v>
      </c>
      <c r="AA25" s="84">
        <v>0.0</v>
      </c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</row>
    <row r="26" ht="21.75" customHeight="1">
      <c r="A26" s="81"/>
      <c r="B26" s="23"/>
      <c r="C26" s="85" t="s">
        <v>6</v>
      </c>
      <c r="D26" s="86">
        <v>0.0</v>
      </c>
      <c r="E26" s="86">
        <v>0.0</v>
      </c>
      <c r="F26" s="86">
        <v>0.0</v>
      </c>
      <c r="G26" s="87">
        <f>N9+Y9</f>
        <v>2210</v>
      </c>
      <c r="H26" s="86">
        <f t="shared" si="16"/>
        <v>2762.5</v>
      </c>
      <c r="I26" s="86">
        <f t="shared" si="1"/>
        <v>3315</v>
      </c>
      <c r="J26" s="86">
        <v>0.0</v>
      </c>
      <c r="K26" s="87">
        <v>0.0</v>
      </c>
      <c r="L26" s="86">
        <v>0.0</v>
      </c>
      <c r="M26" s="86">
        <v>0.0</v>
      </c>
      <c r="N26" s="86">
        <v>0.0</v>
      </c>
      <c r="O26" s="87">
        <v>0.0</v>
      </c>
      <c r="P26" s="86">
        <v>0.0</v>
      </c>
      <c r="Q26" s="86">
        <v>0.0</v>
      </c>
      <c r="R26" s="86">
        <v>0.0</v>
      </c>
      <c r="S26" s="87">
        <v>0.0</v>
      </c>
      <c r="T26" s="86">
        <v>0.0</v>
      </c>
      <c r="U26" s="86">
        <v>0.0</v>
      </c>
      <c r="V26" s="86">
        <v>0.0</v>
      </c>
      <c r="W26" s="87">
        <v>0.0</v>
      </c>
      <c r="X26" s="86">
        <v>0.0</v>
      </c>
      <c r="Y26" s="86">
        <v>0.0</v>
      </c>
      <c r="Z26" s="86">
        <v>0.0</v>
      </c>
      <c r="AA26" s="87">
        <v>0.0</v>
      </c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</row>
    <row r="27" ht="21.75" customHeight="1">
      <c r="A27" s="81"/>
      <c r="B27" s="23"/>
      <c r="C27" s="74" t="s">
        <v>8</v>
      </c>
      <c r="D27" s="76">
        <v>0.0</v>
      </c>
      <c r="E27" s="76">
        <v>0.0</v>
      </c>
      <c r="F27" s="76">
        <v>0.0</v>
      </c>
      <c r="G27" s="77">
        <f>N9+Y10</f>
        <v>3090</v>
      </c>
      <c r="H27" s="76">
        <f t="shared" si="16"/>
        <v>3862.5</v>
      </c>
      <c r="I27" s="76">
        <f t="shared" si="1"/>
        <v>4635</v>
      </c>
      <c r="J27" s="76">
        <v>0.0</v>
      </c>
      <c r="K27" s="77">
        <v>0.0</v>
      </c>
      <c r="L27" s="76">
        <v>0.0</v>
      </c>
      <c r="M27" s="76">
        <v>0.0</v>
      </c>
      <c r="N27" s="76">
        <v>0.0</v>
      </c>
      <c r="O27" s="77">
        <v>0.0</v>
      </c>
      <c r="P27" s="76">
        <v>0.0</v>
      </c>
      <c r="Q27" s="76">
        <v>0.0</v>
      </c>
      <c r="R27" s="76">
        <v>0.0</v>
      </c>
      <c r="S27" s="77">
        <v>0.0</v>
      </c>
      <c r="T27" s="76">
        <v>0.0</v>
      </c>
      <c r="U27" s="76">
        <v>0.0</v>
      </c>
      <c r="V27" s="76">
        <v>0.0</v>
      </c>
      <c r="W27" s="77">
        <v>0.0</v>
      </c>
      <c r="X27" s="76">
        <v>0.0</v>
      </c>
      <c r="Y27" s="76">
        <v>0.0</v>
      </c>
      <c r="Z27" s="76">
        <v>0.0</v>
      </c>
      <c r="AA27" s="77">
        <v>0.0</v>
      </c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</row>
    <row r="28" ht="21.75" customHeight="1">
      <c r="A28" s="81"/>
      <c r="B28" s="23"/>
      <c r="C28" s="82" t="s">
        <v>46</v>
      </c>
      <c r="D28" s="83">
        <v>0.0</v>
      </c>
      <c r="E28" s="83">
        <v>0.0</v>
      </c>
      <c r="F28" s="83">
        <v>0.0</v>
      </c>
      <c r="G28" s="84">
        <f>N9+Y11</f>
        <v>2500</v>
      </c>
      <c r="H28" s="83">
        <f t="shared" si="16"/>
        <v>3125</v>
      </c>
      <c r="I28" s="83">
        <f t="shared" si="1"/>
        <v>3750</v>
      </c>
      <c r="J28" s="83">
        <v>0.0</v>
      </c>
      <c r="K28" s="84">
        <v>0.0</v>
      </c>
      <c r="L28" s="83">
        <v>0.0</v>
      </c>
      <c r="M28" s="83">
        <v>0.0</v>
      </c>
      <c r="N28" s="83">
        <v>0.0</v>
      </c>
      <c r="O28" s="84">
        <v>0.0</v>
      </c>
      <c r="P28" s="83">
        <v>0.0</v>
      </c>
      <c r="Q28" s="83">
        <v>0.0</v>
      </c>
      <c r="R28" s="83">
        <v>0.0</v>
      </c>
      <c r="S28" s="84">
        <v>0.0</v>
      </c>
      <c r="T28" s="83">
        <v>0.0</v>
      </c>
      <c r="U28" s="83">
        <v>0.0</v>
      </c>
      <c r="V28" s="83">
        <v>0.0</v>
      </c>
      <c r="W28" s="84">
        <v>0.0</v>
      </c>
      <c r="X28" s="83">
        <v>0.0</v>
      </c>
      <c r="Y28" s="83">
        <v>0.0</v>
      </c>
      <c r="Z28" s="83">
        <v>0.0</v>
      </c>
      <c r="AA28" s="84">
        <v>0.0</v>
      </c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</row>
    <row r="29" ht="21.75" customHeight="1">
      <c r="A29" s="92"/>
      <c r="B29" s="50"/>
      <c r="C29" s="85" t="s">
        <v>11</v>
      </c>
      <c r="D29" s="86">
        <v>0.0</v>
      </c>
      <c r="E29" s="86">
        <v>0.0</v>
      </c>
      <c r="F29" s="86">
        <v>0.0</v>
      </c>
      <c r="G29" s="87">
        <f>N9+Y12</f>
        <v>2290</v>
      </c>
      <c r="H29" s="86">
        <f t="shared" si="16"/>
        <v>2862.5</v>
      </c>
      <c r="I29" s="86">
        <f t="shared" si="1"/>
        <v>3435</v>
      </c>
      <c r="J29" s="86">
        <v>0.0</v>
      </c>
      <c r="K29" s="87">
        <v>0.0</v>
      </c>
      <c r="L29" s="86">
        <v>0.0</v>
      </c>
      <c r="M29" s="86">
        <v>0.0</v>
      </c>
      <c r="N29" s="86">
        <v>0.0</v>
      </c>
      <c r="O29" s="87">
        <v>0.0</v>
      </c>
      <c r="P29" s="86">
        <v>0.0</v>
      </c>
      <c r="Q29" s="86">
        <v>0.0</v>
      </c>
      <c r="R29" s="86">
        <v>0.0</v>
      </c>
      <c r="S29" s="87">
        <v>0.0</v>
      </c>
      <c r="T29" s="86">
        <v>0.0</v>
      </c>
      <c r="U29" s="86">
        <v>0.0</v>
      </c>
      <c r="V29" s="86">
        <v>0.0</v>
      </c>
      <c r="W29" s="87">
        <v>0.0</v>
      </c>
      <c r="X29" s="86">
        <v>0.0</v>
      </c>
      <c r="Y29" s="86">
        <v>0.0</v>
      </c>
      <c r="Z29" s="86">
        <v>0.0</v>
      </c>
      <c r="AA29" s="87">
        <v>0.0</v>
      </c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</row>
    <row r="30" ht="21.75" customHeight="1">
      <c r="A30" s="93" t="s">
        <v>9</v>
      </c>
      <c r="B30" s="73" t="s">
        <v>9</v>
      </c>
      <c r="C30" s="74" t="s">
        <v>4</v>
      </c>
      <c r="D30" s="76">
        <v>0.0</v>
      </c>
      <c r="E30" s="76">
        <v>0.0</v>
      </c>
      <c r="F30" s="76">
        <v>0.0</v>
      </c>
      <c r="G30" s="77">
        <f>N11+Y7</f>
        <v>2800</v>
      </c>
      <c r="H30" s="76">
        <v>0.0</v>
      </c>
      <c r="I30" s="76">
        <v>0.0</v>
      </c>
      <c r="J30" s="76">
        <v>0.0</v>
      </c>
      <c r="K30" s="77">
        <v>0.0</v>
      </c>
      <c r="L30" s="76">
        <v>0.0</v>
      </c>
      <c r="M30" s="76">
        <v>0.0</v>
      </c>
      <c r="N30" s="76">
        <v>0.0</v>
      </c>
      <c r="O30" s="77">
        <v>0.0</v>
      </c>
      <c r="P30" s="76">
        <v>0.0</v>
      </c>
      <c r="Q30" s="76">
        <v>0.0</v>
      </c>
      <c r="R30" s="76">
        <v>0.0</v>
      </c>
      <c r="S30" s="77">
        <v>0.0</v>
      </c>
      <c r="T30" s="76">
        <v>0.0</v>
      </c>
      <c r="U30" s="76">
        <v>0.0</v>
      </c>
      <c r="V30" s="76">
        <v>0.0</v>
      </c>
      <c r="W30" s="77">
        <v>0.0</v>
      </c>
      <c r="X30" s="76">
        <v>0.0</v>
      </c>
      <c r="Y30" s="76">
        <v>0.0</v>
      </c>
      <c r="Z30" s="76">
        <v>0.0</v>
      </c>
      <c r="AA30" s="77">
        <v>0.0</v>
      </c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</row>
    <row r="31" ht="21.75" customHeight="1">
      <c r="A31" s="81"/>
      <c r="B31" s="23"/>
      <c r="C31" s="82" t="s">
        <v>45</v>
      </c>
      <c r="D31" s="83">
        <v>0.0</v>
      </c>
      <c r="E31" s="83">
        <v>0.0</v>
      </c>
      <c r="F31" s="83">
        <v>0.0</v>
      </c>
      <c r="G31" s="84">
        <f>N11+Y8</f>
        <v>2370</v>
      </c>
      <c r="H31" s="83">
        <v>0.0</v>
      </c>
      <c r="I31" s="83">
        <v>0.0</v>
      </c>
      <c r="J31" s="83">
        <v>0.0</v>
      </c>
      <c r="K31" s="84">
        <v>0.0</v>
      </c>
      <c r="L31" s="91" t="s">
        <v>48</v>
      </c>
      <c r="M31" s="83">
        <v>0.0</v>
      </c>
      <c r="N31" s="83">
        <v>0.0</v>
      </c>
      <c r="O31" s="84">
        <v>0.0</v>
      </c>
      <c r="P31" s="83">
        <v>0.0</v>
      </c>
      <c r="Q31" s="83">
        <v>0.0</v>
      </c>
      <c r="R31" s="83">
        <v>0.0</v>
      </c>
      <c r="S31" s="84">
        <v>0.0</v>
      </c>
      <c r="T31" s="83">
        <v>0.0</v>
      </c>
      <c r="U31" s="83">
        <v>0.0</v>
      </c>
      <c r="V31" s="83">
        <v>0.0</v>
      </c>
      <c r="W31" s="84">
        <v>0.0</v>
      </c>
      <c r="X31" s="83">
        <v>0.0</v>
      </c>
      <c r="Y31" s="83">
        <v>0.0</v>
      </c>
      <c r="Z31" s="83">
        <v>0.0</v>
      </c>
      <c r="AA31" s="84">
        <v>0.0</v>
      </c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</row>
    <row r="32" ht="21.75" customHeight="1">
      <c r="A32" s="81"/>
      <c r="B32" s="23"/>
      <c r="C32" s="85" t="s">
        <v>6</v>
      </c>
      <c r="D32" s="86">
        <v>0.0</v>
      </c>
      <c r="E32" s="86">
        <v>0.0</v>
      </c>
      <c r="F32" s="86">
        <v>0.0</v>
      </c>
      <c r="G32" s="87">
        <f>N11+Y9</f>
        <v>2210</v>
      </c>
      <c r="H32" s="86">
        <v>0.0</v>
      </c>
      <c r="I32" s="86">
        <v>0.0</v>
      </c>
      <c r="J32" s="86">
        <v>0.0</v>
      </c>
      <c r="K32" s="87">
        <v>0.0</v>
      </c>
      <c r="L32" s="86">
        <v>0.0</v>
      </c>
      <c r="M32" s="86">
        <v>0.0</v>
      </c>
      <c r="N32" s="86">
        <v>0.0</v>
      </c>
      <c r="O32" s="87">
        <v>0.0</v>
      </c>
      <c r="P32" s="86">
        <v>0.0</v>
      </c>
      <c r="Q32" s="86">
        <v>0.0</v>
      </c>
      <c r="R32" s="86">
        <v>0.0</v>
      </c>
      <c r="S32" s="87">
        <v>0.0</v>
      </c>
      <c r="T32" s="86">
        <v>0.0</v>
      </c>
      <c r="U32" s="86">
        <v>0.0</v>
      </c>
      <c r="V32" s="86">
        <v>0.0</v>
      </c>
      <c r="W32" s="87">
        <v>0.0</v>
      </c>
      <c r="X32" s="86">
        <v>0.0</v>
      </c>
      <c r="Y32" s="86">
        <v>0.0</v>
      </c>
      <c r="Z32" s="86">
        <v>0.0</v>
      </c>
      <c r="AA32" s="87">
        <v>0.0</v>
      </c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</row>
    <row r="33" ht="21.75" customHeight="1">
      <c r="A33" s="81"/>
      <c r="B33" s="23"/>
      <c r="C33" s="74" t="s">
        <v>8</v>
      </c>
      <c r="D33" s="76">
        <v>0.0</v>
      </c>
      <c r="E33" s="76">
        <v>0.0</v>
      </c>
      <c r="F33" s="76">
        <v>0.0</v>
      </c>
      <c r="G33" s="77">
        <f>N11+Y10</f>
        <v>3090</v>
      </c>
      <c r="H33" s="76">
        <v>0.0</v>
      </c>
      <c r="I33" s="76">
        <v>0.0</v>
      </c>
      <c r="J33" s="76">
        <v>0.0</v>
      </c>
      <c r="K33" s="77">
        <v>0.0</v>
      </c>
      <c r="L33" s="76">
        <v>0.0</v>
      </c>
      <c r="M33" s="76">
        <v>0.0</v>
      </c>
      <c r="N33" s="76">
        <v>0.0</v>
      </c>
      <c r="O33" s="77">
        <v>0.0</v>
      </c>
      <c r="P33" s="76">
        <v>0.0</v>
      </c>
      <c r="Q33" s="76">
        <v>0.0</v>
      </c>
      <c r="R33" s="76">
        <v>0.0</v>
      </c>
      <c r="S33" s="77">
        <v>0.0</v>
      </c>
      <c r="T33" s="76">
        <v>0.0</v>
      </c>
      <c r="U33" s="76">
        <v>0.0</v>
      </c>
      <c r="V33" s="76">
        <v>0.0</v>
      </c>
      <c r="W33" s="77">
        <v>0.0</v>
      </c>
      <c r="X33" s="76">
        <v>0.0</v>
      </c>
      <c r="Y33" s="76">
        <v>0.0</v>
      </c>
      <c r="Z33" s="76">
        <v>0.0</v>
      </c>
      <c r="AA33" s="77">
        <v>0.0</v>
      </c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</row>
    <row r="34" ht="21.75" customHeight="1">
      <c r="A34" s="81"/>
      <c r="B34" s="23"/>
      <c r="C34" s="82" t="s">
        <v>46</v>
      </c>
      <c r="D34" s="83">
        <v>0.0</v>
      </c>
      <c r="E34" s="83">
        <v>0.0</v>
      </c>
      <c r="F34" s="83">
        <v>0.0</v>
      </c>
      <c r="G34" s="84">
        <f>N11+Y11</f>
        <v>2500</v>
      </c>
      <c r="H34" s="83">
        <v>0.0</v>
      </c>
      <c r="I34" s="83">
        <v>0.0</v>
      </c>
      <c r="J34" s="83">
        <v>0.0</v>
      </c>
      <c r="K34" s="84">
        <v>0.0</v>
      </c>
      <c r="L34" s="83">
        <v>0.0</v>
      </c>
      <c r="M34" s="83">
        <v>0.0</v>
      </c>
      <c r="N34" s="83">
        <v>0.0</v>
      </c>
      <c r="O34" s="84">
        <v>0.0</v>
      </c>
      <c r="P34" s="83">
        <v>0.0</v>
      </c>
      <c r="Q34" s="83">
        <v>0.0</v>
      </c>
      <c r="R34" s="83">
        <v>0.0</v>
      </c>
      <c r="S34" s="84">
        <v>0.0</v>
      </c>
      <c r="T34" s="83">
        <v>0.0</v>
      </c>
      <c r="U34" s="83">
        <v>0.0</v>
      </c>
      <c r="V34" s="83">
        <v>0.0</v>
      </c>
      <c r="W34" s="84">
        <v>0.0</v>
      </c>
      <c r="X34" s="83">
        <v>0.0</v>
      </c>
      <c r="Y34" s="83">
        <v>0.0</v>
      </c>
      <c r="Z34" s="83">
        <v>0.0</v>
      </c>
      <c r="AA34" s="84">
        <v>0.0</v>
      </c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</row>
    <row r="35" ht="21.75" customHeight="1">
      <c r="A35" s="92"/>
      <c r="B35" s="50"/>
      <c r="C35" s="85" t="s">
        <v>11</v>
      </c>
      <c r="D35" s="86">
        <v>0.0</v>
      </c>
      <c r="E35" s="86">
        <v>0.0</v>
      </c>
      <c r="F35" s="86">
        <v>0.0</v>
      </c>
      <c r="G35" s="87">
        <f>N11+Y12</f>
        <v>2290</v>
      </c>
      <c r="H35" s="86">
        <v>0.0</v>
      </c>
      <c r="I35" s="86">
        <v>0.0</v>
      </c>
      <c r="J35" s="86">
        <v>0.0</v>
      </c>
      <c r="K35" s="87">
        <v>0.0</v>
      </c>
      <c r="L35" s="86">
        <v>0.0</v>
      </c>
      <c r="M35" s="86">
        <v>0.0</v>
      </c>
      <c r="N35" s="86">
        <v>0.0</v>
      </c>
      <c r="O35" s="87">
        <v>0.0</v>
      </c>
      <c r="P35" s="86">
        <v>0.0</v>
      </c>
      <c r="Q35" s="86">
        <v>0.0</v>
      </c>
      <c r="R35" s="86">
        <v>0.0</v>
      </c>
      <c r="S35" s="87">
        <v>0.0</v>
      </c>
      <c r="T35" s="86">
        <v>0.0</v>
      </c>
      <c r="U35" s="86">
        <v>0.0</v>
      </c>
      <c r="V35" s="86">
        <v>0.0</v>
      </c>
      <c r="W35" s="87">
        <v>0.0</v>
      </c>
      <c r="X35" s="86">
        <v>0.0</v>
      </c>
      <c r="Y35" s="86">
        <v>0.0</v>
      </c>
      <c r="Z35" s="86">
        <v>0.0</v>
      </c>
      <c r="AA35" s="87">
        <v>0.0</v>
      </c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</row>
    <row r="36" ht="15.75" customHeight="1">
      <c r="A36" s="9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ht="15.75" customHeight="1">
      <c r="A37" s="9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ht="15.0" customHeight="1">
      <c r="A38" s="94" t="s">
        <v>49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ht="15.0" customHeight="1">
      <c r="A39" s="94" t="s">
        <v>50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ht="15.75" customHeight="1">
      <c r="A40" s="9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ht="15.75" customHeight="1">
      <c r="A41" s="9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ht="15.75" customHeight="1">
      <c r="A42" s="9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ht="15.75" customHeight="1">
      <c r="A43" s="9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ht="15.75" customHeight="1">
      <c r="A44" s="9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ht="15.75" customHeight="1">
      <c r="A45" s="9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ht="15.75" customHeight="1">
      <c r="A46" s="9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ht="15.75" customHeight="1">
      <c r="A47" s="9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ht="15.75" customHeight="1">
      <c r="A48" s="9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ht="15.75" customHeight="1">
      <c r="A49" s="9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ht="15.75" customHeight="1">
      <c r="A50" s="9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ht="15.75" customHeight="1">
      <c r="A51" s="9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ht="15.75" customHeight="1">
      <c r="A52" s="9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ht="15.75" customHeight="1">
      <c r="A53" s="9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ht="15.75" customHeight="1">
      <c r="A54" s="9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ht="15.75" customHeight="1">
      <c r="A55" s="9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ht="15.75" customHeight="1">
      <c r="A56" s="9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ht="15.75" customHeight="1">
      <c r="A57" s="9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ht="15.75" customHeight="1">
      <c r="A58" s="9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ht="15.75" customHeight="1">
      <c r="A59" s="9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ht="15.75" customHeight="1">
      <c r="A60" s="9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ht="15.75" customHeight="1">
      <c r="A61" s="9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ht="15.75" customHeight="1">
      <c r="A62" s="9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ht="15.75" customHeight="1">
      <c r="A63" s="9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ht="15.75" customHeight="1">
      <c r="A64" s="9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ht="15.75" customHeight="1">
      <c r="A65" s="9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ht="15.75" customHeight="1">
      <c r="A66" s="9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ht="15.75" customHeight="1">
      <c r="A67" s="9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ht="15.75" customHeight="1">
      <c r="A68" s="9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ht="15.75" customHeight="1">
      <c r="A69" s="9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ht="15.75" customHeight="1">
      <c r="A70" s="9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ht="15.75" customHeight="1">
      <c r="A71" s="9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ht="15.75" customHeight="1">
      <c r="A72" s="9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ht="15.75" customHeight="1">
      <c r="A73" s="9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ht="15.75" customHeight="1">
      <c r="A74" s="9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ht="15.75" customHeight="1">
      <c r="A75" s="9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ht="15.75" customHeight="1">
      <c r="A76" s="9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ht="15.75" customHeight="1">
      <c r="A77" s="9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ht="15.75" customHeight="1">
      <c r="A78" s="9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ht="15.75" customHeight="1">
      <c r="A79" s="9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ht="15.75" customHeight="1">
      <c r="A80" s="9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ht="15.75" customHeight="1">
      <c r="A81" s="9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ht="15.75" customHeight="1">
      <c r="A82" s="9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ht="15.75" customHeight="1">
      <c r="A83" s="9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ht="15.75" customHeight="1">
      <c r="A84" s="9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ht="15.75" customHeight="1">
      <c r="A85" s="9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ht="15.75" customHeight="1">
      <c r="A86" s="9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ht="15.75" customHeight="1">
      <c r="A87" s="9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ht="15.75" customHeight="1">
      <c r="A88" s="9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ht="15.75" customHeight="1">
      <c r="A89" s="9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ht="15.75" customHeight="1">
      <c r="A90" s="9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ht="15.75" customHeight="1">
      <c r="A91" s="9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ht="15.75" customHeight="1">
      <c r="A92" s="9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ht="15.75" customHeight="1">
      <c r="A93" s="9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ht="15.75" customHeight="1">
      <c r="A94" s="9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ht="15.75" customHeight="1">
      <c r="A95" s="9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ht="15.75" customHeight="1">
      <c r="A96" s="9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ht="15.75" customHeight="1">
      <c r="A97" s="9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ht="15.75" customHeight="1">
      <c r="A98" s="9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ht="15.75" customHeight="1">
      <c r="A99" s="9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ht="15.75" customHeight="1">
      <c r="A100" s="9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ht="15.75" customHeight="1">
      <c r="A101" s="9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ht="15.75" customHeight="1">
      <c r="A102" s="9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ht="15.75" customHeight="1">
      <c r="A103" s="9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ht="15.75" customHeight="1">
      <c r="A104" s="9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ht="15.75" customHeight="1">
      <c r="A105" s="9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ht="15.75" customHeight="1">
      <c r="A106" s="9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ht="15.75" customHeight="1">
      <c r="A107" s="9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ht="15.75" customHeight="1">
      <c r="A108" s="9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ht="15.75" customHeight="1">
      <c r="A109" s="9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ht="15.75" customHeight="1">
      <c r="A110" s="9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ht="15.75" customHeight="1">
      <c r="A111" s="9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ht="15.75" customHeight="1">
      <c r="A112" s="9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ht="15.75" customHeight="1">
      <c r="A113" s="9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ht="15.75" customHeight="1">
      <c r="A114" s="9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ht="15.75" customHeight="1">
      <c r="A115" s="9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ht="15.75" customHeight="1">
      <c r="A116" s="9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ht="15.75" customHeight="1">
      <c r="A117" s="9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ht="15.75" customHeight="1">
      <c r="A118" s="9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ht="15.75" customHeight="1">
      <c r="A119" s="9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ht="15.75" customHeight="1">
      <c r="A120" s="9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ht="15.75" customHeight="1">
      <c r="A121" s="9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ht="15.75" customHeight="1">
      <c r="A122" s="9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ht="15.75" customHeight="1">
      <c r="A123" s="9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ht="15.75" customHeight="1">
      <c r="A124" s="9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ht="15.75" customHeight="1">
      <c r="A125" s="9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ht="15.75" customHeight="1">
      <c r="A126" s="9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ht="15.75" customHeight="1">
      <c r="A127" s="9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ht="15.75" customHeight="1">
      <c r="A128" s="9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ht="15.75" customHeight="1">
      <c r="A129" s="9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ht="15.75" customHeight="1">
      <c r="A130" s="9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ht="15.75" customHeight="1">
      <c r="A131" s="9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ht="15.75" customHeight="1">
      <c r="A132" s="9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ht="15.75" customHeight="1">
      <c r="A133" s="9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ht="15.75" customHeight="1">
      <c r="A134" s="9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ht="15.75" customHeight="1">
      <c r="A135" s="9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ht="15.75" customHeight="1">
      <c r="A136" s="9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ht="15.75" customHeight="1">
      <c r="A137" s="9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ht="15.75" customHeight="1">
      <c r="A138" s="9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ht="15.75" customHeight="1">
      <c r="A139" s="9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ht="15.75" customHeight="1">
      <c r="A140" s="9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ht="15.75" customHeight="1">
      <c r="A141" s="9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ht="15.75" customHeight="1">
      <c r="A142" s="9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ht="15.75" customHeight="1">
      <c r="A143" s="9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ht="15.75" customHeight="1">
      <c r="A144" s="9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ht="15.75" customHeight="1">
      <c r="A145" s="9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ht="15.75" customHeight="1">
      <c r="A146" s="9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ht="15.75" customHeight="1">
      <c r="A147" s="9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ht="15.75" customHeight="1">
      <c r="A148" s="9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ht="15.75" customHeight="1">
      <c r="A149" s="9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ht="15.75" customHeight="1">
      <c r="A150" s="9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ht="15.75" customHeight="1">
      <c r="A151" s="9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ht="15.75" customHeight="1">
      <c r="A152" s="9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ht="15.75" customHeight="1">
      <c r="A153" s="9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ht="15.75" customHeight="1">
      <c r="A154" s="9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ht="15.75" customHeight="1">
      <c r="A155" s="9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ht="15.75" customHeight="1">
      <c r="A156" s="9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ht="15.75" customHeight="1">
      <c r="A157" s="9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ht="15.75" customHeight="1">
      <c r="A158" s="9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ht="15.75" customHeight="1">
      <c r="A159" s="9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ht="15.75" customHeight="1">
      <c r="A160" s="9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ht="15.75" customHeight="1">
      <c r="A161" s="9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ht="15.75" customHeight="1">
      <c r="A162" s="9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ht="15.75" customHeight="1">
      <c r="A163" s="9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ht="15.75" customHeight="1">
      <c r="A164" s="9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ht="15.75" customHeight="1">
      <c r="A165" s="9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ht="15.75" customHeight="1">
      <c r="A166" s="9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ht="15.75" customHeight="1">
      <c r="A167" s="9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ht="15.75" customHeight="1">
      <c r="A168" s="9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ht="15.75" customHeight="1">
      <c r="A169" s="9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ht="15.75" customHeight="1">
      <c r="A170" s="9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ht="15.75" customHeight="1">
      <c r="A171" s="9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ht="15.75" customHeight="1">
      <c r="A172" s="9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ht="15.75" customHeight="1">
      <c r="A173" s="9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ht="15.75" customHeight="1">
      <c r="A174" s="9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ht="15.75" customHeight="1">
      <c r="A175" s="9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ht="15.75" customHeight="1">
      <c r="A176" s="9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ht="15.75" customHeight="1">
      <c r="A177" s="9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ht="15.75" customHeight="1">
      <c r="A178" s="9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ht="15.75" customHeight="1">
      <c r="A179" s="9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ht="15.75" customHeight="1">
      <c r="A180" s="9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ht="15.75" customHeight="1">
      <c r="A181" s="9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ht="15.75" customHeight="1">
      <c r="A182" s="9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ht="15.75" customHeight="1">
      <c r="A183" s="9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ht="15.75" customHeight="1">
      <c r="A184" s="9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ht="15.75" customHeight="1">
      <c r="A185" s="9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ht="15.75" customHeight="1">
      <c r="A186" s="9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ht="15.75" customHeight="1">
      <c r="A187" s="9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ht="15.75" customHeight="1">
      <c r="A188" s="9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ht="15.75" customHeight="1">
      <c r="A189" s="9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ht="15.75" customHeight="1">
      <c r="A190" s="9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ht="15.75" customHeight="1">
      <c r="A191" s="9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ht="15.75" customHeight="1">
      <c r="A192" s="9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ht="15.75" customHeight="1">
      <c r="A193" s="9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ht="15.75" customHeight="1">
      <c r="A194" s="9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ht="15.75" customHeight="1">
      <c r="A195" s="9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ht="15.75" customHeight="1">
      <c r="A196" s="9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ht="15.75" customHeight="1">
      <c r="A197" s="9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ht="15.75" customHeight="1">
      <c r="A198" s="9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ht="15.75" customHeight="1">
      <c r="A199" s="9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ht="15.75" customHeight="1">
      <c r="A200" s="9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ht="15.75" customHeight="1">
      <c r="A201" s="9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ht="15.75" customHeight="1">
      <c r="A202" s="9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ht="15.75" customHeight="1">
      <c r="A203" s="9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ht="15.75" customHeight="1">
      <c r="A204" s="9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ht="15.75" customHeight="1">
      <c r="A205" s="9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ht="15.75" customHeight="1">
      <c r="A206" s="9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ht="15.75" customHeight="1">
      <c r="A207" s="9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ht="15.75" customHeight="1">
      <c r="A208" s="9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ht="15.75" customHeight="1">
      <c r="A209" s="9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ht="15.75" customHeight="1">
      <c r="A210" s="9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ht="15.75" customHeight="1">
      <c r="A211" s="9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ht="15.75" customHeight="1">
      <c r="A212" s="9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ht="15.75" customHeight="1">
      <c r="A213" s="9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ht="15.75" customHeight="1">
      <c r="A214" s="9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ht="15.75" customHeight="1">
      <c r="A215" s="9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ht="15.75" customHeight="1">
      <c r="A216" s="9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ht="15.75" customHeight="1">
      <c r="A217" s="9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ht="15.75" customHeight="1">
      <c r="A218" s="9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ht="15.75" customHeight="1">
      <c r="A219" s="9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ht="15.75" customHeight="1">
      <c r="A220" s="9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ht="15.75" customHeight="1">
      <c r="A221" s="9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ht="15.75" customHeight="1">
      <c r="A222" s="9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ht="15.75" customHeight="1">
      <c r="A223" s="9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ht="15.75" customHeight="1">
      <c r="A224" s="9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ht="15.75" customHeight="1">
      <c r="A225" s="9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ht="15.75" customHeight="1">
      <c r="A226" s="9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ht="15.75" customHeight="1">
      <c r="A227" s="9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ht="15.75" customHeight="1">
      <c r="A228" s="9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ht="15.75" customHeight="1">
      <c r="A229" s="9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ht="15.75" customHeight="1">
      <c r="A230" s="9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ht="15.75" customHeight="1">
      <c r="A231" s="9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ht="15.75" customHeight="1">
      <c r="A232" s="9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ht="15.75" customHeight="1">
      <c r="A233" s="9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ht="15.75" customHeight="1">
      <c r="A234" s="9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ht="15.75" customHeight="1">
      <c r="A235" s="9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ht="15.75" customHeight="1">
      <c r="A236" s="9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ht="15.75" customHeight="1">
      <c r="A237" s="9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ht="15.75" customHeight="1">
      <c r="A238" s="9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ht="15.75" customHeight="1">
      <c r="A239" s="9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ht="15.75" customHeight="1">
      <c r="A240" s="9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ht="15.75" customHeight="1">
      <c r="A241" s="9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ht="15.75" customHeight="1">
      <c r="A242" s="9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ht="15.75" customHeight="1">
      <c r="A243" s="9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ht="15.75" customHeight="1">
      <c r="A244" s="9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ht="15.75" customHeight="1">
      <c r="A245" s="9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ht="15.75" customHeight="1">
      <c r="A246" s="9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ht="15.75" customHeight="1">
      <c r="A247" s="9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ht="15.75" customHeight="1">
      <c r="A248" s="9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ht="15.75" customHeight="1">
      <c r="A249" s="9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ht="15.75" customHeight="1">
      <c r="A250" s="9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ht="15.75" customHeight="1">
      <c r="A251" s="9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ht="15.75" customHeight="1">
      <c r="A252" s="9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ht="15.75" customHeight="1">
      <c r="A253" s="9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ht="15.75" customHeight="1">
      <c r="A254" s="9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ht="15.75" customHeight="1">
      <c r="A255" s="9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ht="15.75" customHeight="1">
      <c r="A256" s="9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ht="15.75" customHeight="1">
      <c r="A257" s="9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ht="15.75" customHeight="1">
      <c r="A258" s="9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ht="15.75" customHeight="1">
      <c r="A259" s="9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ht="15.75" customHeight="1">
      <c r="A260" s="9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ht="15.75" customHeight="1">
      <c r="A261" s="9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ht="15.75" customHeight="1">
      <c r="A262" s="9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ht="15.75" customHeight="1">
      <c r="A263" s="9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ht="15.75" customHeight="1">
      <c r="A264" s="9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ht="15.75" customHeight="1">
      <c r="A265" s="9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ht="15.75" customHeight="1">
      <c r="A266" s="9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ht="15.75" customHeight="1">
      <c r="A267" s="9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ht="15.75" customHeight="1">
      <c r="A268" s="9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ht="15.75" customHeight="1">
      <c r="A269" s="9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ht="15.75" customHeight="1">
      <c r="A270" s="9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ht="15.75" customHeight="1">
      <c r="A271" s="9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ht="15.75" customHeight="1">
      <c r="A272" s="9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ht="15.75" customHeight="1">
      <c r="A273" s="9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ht="15.75" customHeight="1">
      <c r="A274" s="9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ht="15.75" customHeight="1">
      <c r="A275" s="9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ht="15.75" customHeight="1">
      <c r="A276" s="9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ht="15.75" customHeight="1">
      <c r="A277" s="9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ht="15.75" customHeight="1">
      <c r="A278" s="9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ht="15.75" customHeight="1">
      <c r="A279" s="9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ht="15.75" customHeight="1">
      <c r="A280" s="9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ht="15.75" customHeight="1">
      <c r="A281" s="9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ht="15.75" customHeight="1">
      <c r="A282" s="9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ht="15.75" customHeight="1">
      <c r="A283" s="9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ht="15.75" customHeight="1">
      <c r="A284" s="9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ht="15.75" customHeight="1">
      <c r="A285" s="9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ht="15.75" customHeight="1">
      <c r="A286" s="9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ht="15.75" customHeight="1">
      <c r="A287" s="9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ht="15.75" customHeight="1">
      <c r="A288" s="9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ht="15.75" customHeight="1">
      <c r="A289" s="9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ht="15.75" customHeight="1">
      <c r="A290" s="9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ht="15.75" customHeight="1">
      <c r="A291" s="9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ht="15.75" customHeight="1">
      <c r="A292" s="9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ht="15.75" customHeight="1">
      <c r="A293" s="9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ht="15.75" customHeight="1">
      <c r="A294" s="9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ht="15.75" customHeight="1">
      <c r="A295" s="9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ht="15.75" customHeight="1">
      <c r="A296" s="9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ht="15.75" customHeight="1">
      <c r="A297" s="9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ht="15.75" customHeight="1">
      <c r="A298" s="9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ht="15.75" customHeight="1">
      <c r="A299" s="9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ht="15.75" customHeight="1">
      <c r="A300" s="9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ht="15.75" customHeight="1">
      <c r="A301" s="9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ht="15.75" customHeight="1">
      <c r="A302" s="9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ht="15.75" customHeight="1">
      <c r="A303" s="9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ht="15.75" customHeight="1">
      <c r="A304" s="9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ht="15.75" customHeight="1">
      <c r="A305" s="9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ht="15.75" customHeight="1">
      <c r="A306" s="9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ht="15.75" customHeight="1">
      <c r="A307" s="9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ht="15.75" customHeight="1">
      <c r="A308" s="9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ht="15.75" customHeight="1">
      <c r="A309" s="9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ht="15.75" customHeight="1">
      <c r="A310" s="9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ht="15.75" customHeight="1">
      <c r="A311" s="9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ht="15.75" customHeight="1">
      <c r="A312" s="9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ht="15.75" customHeight="1">
      <c r="A313" s="9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ht="15.75" customHeight="1">
      <c r="A314" s="9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ht="15.75" customHeight="1">
      <c r="A315" s="9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ht="15.75" customHeight="1">
      <c r="A316" s="9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ht="15.75" customHeight="1">
      <c r="A317" s="9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ht="15.75" customHeight="1">
      <c r="A318" s="9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ht="15.75" customHeight="1">
      <c r="A319" s="9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ht="15.75" customHeight="1">
      <c r="A320" s="9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ht="15.75" customHeight="1">
      <c r="A321" s="9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ht="15.75" customHeight="1">
      <c r="A322" s="9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ht="15.75" customHeight="1">
      <c r="A323" s="9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ht="15.75" customHeight="1">
      <c r="A324" s="9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ht="15.75" customHeight="1">
      <c r="A325" s="9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ht="15.75" customHeight="1">
      <c r="A326" s="9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ht="15.75" customHeight="1">
      <c r="A327" s="9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ht="15.75" customHeight="1">
      <c r="A328" s="9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ht="15.75" customHeight="1">
      <c r="A329" s="9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ht="15.75" customHeight="1">
      <c r="A330" s="9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ht="15.75" customHeight="1">
      <c r="A331" s="9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ht="15.75" customHeight="1">
      <c r="A332" s="9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ht="15.75" customHeight="1">
      <c r="A333" s="9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ht="15.75" customHeight="1">
      <c r="A334" s="9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ht="15.75" customHeight="1">
      <c r="A335" s="9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ht="15.75" customHeight="1">
      <c r="A336" s="9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ht="15.75" customHeight="1">
      <c r="A337" s="9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ht="15.75" customHeight="1">
      <c r="A338" s="9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ht="15.75" customHeight="1">
      <c r="A339" s="9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ht="15.75" customHeight="1">
      <c r="A340" s="9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ht="15.75" customHeight="1">
      <c r="A341" s="9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ht="15.75" customHeight="1">
      <c r="A342" s="9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ht="15.75" customHeight="1">
      <c r="A343" s="9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ht="15.75" customHeight="1">
      <c r="A344" s="9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ht="15.75" customHeight="1">
      <c r="A345" s="9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ht="15.75" customHeight="1">
      <c r="A346" s="9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ht="15.75" customHeight="1">
      <c r="A347" s="9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ht="15.75" customHeight="1">
      <c r="A348" s="9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ht="15.75" customHeight="1">
      <c r="A349" s="9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ht="15.75" customHeight="1">
      <c r="A350" s="9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ht="15.75" customHeight="1">
      <c r="A351" s="9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ht="15.75" customHeight="1">
      <c r="A352" s="9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ht="15.75" customHeight="1">
      <c r="A353" s="9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ht="15.75" customHeight="1">
      <c r="A354" s="9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ht="15.75" customHeight="1">
      <c r="A355" s="9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ht="15.75" customHeight="1">
      <c r="A356" s="9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ht="15.75" customHeight="1">
      <c r="A357" s="9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ht="15.75" customHeight="1">
      <c r="A358" s="9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ht="15.75" customHeight="1">
      <c r="A359" s="9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ht="15.75" customHeight="1">
      <c r="A360" s="9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ht="15.75" customHeight="1">
      <c r="A361" s="9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ht="15.75" customHeight="1">
      <c r="A362" s="9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ht="15.75" customHeight="1">
      <c r="A363" s="9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ht="15.75" customHeight="1">
      <c r="A364" s="9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ht="15.75" customHeight="1">
      <c r="A365" s="9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ht="15.75" customHeight="1">
      <c r="A366" s="9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ht="15.75" customHeight="1">
      <c r="A367" s="9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ht="15.75" customHeight="1">
      <c r="A368" s="9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ht="15.75" customHeight="1">
      <c r="A369" s="9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ht="15.75" customHeight="1">
      <c r="A370" s="9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ht="15.75" customHeight="1">
      <c r="A371" s="9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ht="15.75" customHeight="1">
      <c r="A372" s="9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ht="15.75" customHeight="1">
      <c r="A373" s="9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ht="15.75" customHeight="1">
      <c r="A374" s="9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ht="15.75" customHeight="1">
      <c r="A375" s="9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ht="15.75" customHeight="1">
      <c r="A376" s="9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ht="15.75" customHeight="1">
      <c r="A377" s="9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ht="15.75" customHeight="1">
      <c r="A378" s="9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ht="15.75" customHeight="1">
      <c r="A379" s="9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ht="15.75" customHeight="1">
      <c r="A380" s="9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ht="15.75" customHeight="1">
      <c r="A381" s="9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ht="15.75" customHeight="1">
      <c r="A382" s="9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ht="15.75" customHeight="1">
      <c r="A383" s="9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ht="15.75" customHeight="1">
      <c r="A384" s="9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ht="15.75" customHeight="1">
      <c r="A385" s="9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ht="15.75" customHeight="1">
      <c r="A386" s="9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ht="15.75" customHeight="1">
      <c r="A387" s="9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ht="15.75" customHeight="1">
      <c r="A388" s="9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ht="15.75" customHeight="1">
      <c r="A389" s="9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ht="15.75" customHeight="1">
      <c r="A390" s="9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ht="15.75" customHeight="1">
      <c r="A391" s="9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ht="15.75" customHeight="1">
      <c r="A392" s="9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ht="15.75" customHeight="1">
      <c r="A393" s="9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ht="15.75" customHeight="1">
      <c r="A394" s="9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ht="15.75" customHeight="1">
      <c r="A395" s="9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ht="15.75" customHeight="1">
      <c r="A396" s="9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ht="15.75" customHeight="1">
      <c r="A397" s="9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ht="15.75" customHeight="1">
      <c r="A398" s="9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ht="15.75" customHeight="1">
      <c r="A399" s="9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ht="15.75" customHeight="1">
      <c r="A400" s="9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ht="15.75" customHeight="1">
      <c r="A401" s="9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ht="15.75" customHeight="1">
      <c r="A402" s="9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ht="15.75" customHeight="1">
      <c r="A403" s="9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ht="15.75" customHeight="1">
      <c r="A404" s="9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ht="15.75" customHeight="1">
      <c r="A405" s="9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ht="15.75" customHeight="1">
      <c r="A406" s="9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ht="15.75" customHeight="1">
      <c r="A407" s="9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ht="15.75" customHeight="1">
      <c r="A408" s="9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ht="15.75" customHeight="1">
      <c r="A409" s="9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ht="15.75" customHeight="1">
      <c r="A410" s="9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ht="15.75" customHeight="1">
      <c r="A411" s="9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ht="15.75" customHeight="1">
      <c r="A412" s="9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ht="15.75" customHeight="1">
      <c r="A413" s="9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ht="15.75" customHeight="1">
      <c r="A414" s="9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ht="15.75" customHeight="1">
      <c r="A415" s="9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ht="15.75" customHeight="1">
      <c r="A416" s="9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ht="15.75" customHeight="1">
      <c r="A417" s="9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ht="15.75" customHeight="1">
      <c r="A418" s="9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ht="15.75" customHeight="1">
      <c r="A419" s="9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ht="15.75" customHeight="1">
      <c r="A420" s="9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ht="15.75" customHeight="1">
      <c r="A421" s="9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ht="15.75" customHeight="1">
      <c r="A422" s="9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ht="15.75" customHeight="1">
      <c r="A423" s="9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ht="15.75" customHeight="1">
      <c r="A424" s="9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ht="15.75" customHeight="1">
      <c r="A425" s="9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ht="15.75" customHeight="1">
      <c r="A426" s="9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ht="15.75" customHeight="1">
      <c r="A427" s="9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ht="15.75" customHeight="1">
      <c r="A428" s="9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ht="15.75" customHeight="1">
      <c r="A429" s="9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ht="15.75" customHeight="1">
      <c r="A430" s="9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ht="15.75" customHeight="1">
      <c r="A431" s="9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ht="15.75" customHeight="1">
      <c r="A432" s="9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ht="15.75" customHeight="1">
      <c r="A433" s="9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ht="15.75" customHeight="1">
      <c r="A434" s="9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ht="15.75" customHeight="1">
      <c r="A435" s="9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ht="15.75" customHeight="1">
      <c r="A436" s="9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ht="15.75" customHeight="1">
      <c r="A437" s="9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ht="15.75" customHeight="1">
      <c r="A438" s="9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ht="15.75" customHeight="1">
      <c r="A439" s="9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ht="15.75" customHeight="1">
      <c r="A440" s="9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ht="15.75" customHeight="1">
      <c r="A441" s="9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ht="15.75" customHeight="1">
      <c r="A442" s="9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ht="15.75" customHeight="1">
      <c r="A443" s="9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ht="15.75" customHeight="1">
      <c r="A444" s="9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ht="15.75" customHeight="1">
      <c r="A445" s="9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ht="15.75" customHeight="1">
      <c r="A446" s="9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ht="15.75" customHeight="1">
      <c r="A447" s="9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ht="15.75" customHeight="1">
      <c r="A448" s="9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ht="15.75" customHeight="1">
      <c r="A449" s="9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ht="15.75" customHeight="1">
      <c r="A450" s="9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ht="15.75" customHeight="1">
      <c r="A451" s="9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ht="15.75" customHeight="1">
      <c r="A452" s="9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ht="15.75" customHeight="1">
      <c r="A453" s="9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ht="15.75" customHeight="1">
      <c r="A454" s="9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ht="15.75" customHeight="1">
      <c r="A455" s="9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ht="15.75" customHeight="1">
      <c r="A456" s="9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ht="15.75" customHeight="1">
      <c r="A457" s="9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ht="15.75" customHeight="1">
      <c r="A458" s="9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ht="15.75" customHeight="1">
      <c r="A459" s="9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ht="15.75" customHeight="1">
      <c r="A460" s="9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ht="15.75" customHeight="1">
      <c r="A461" s="9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ht="15.75" customHeight="1">
      <c r="A462" s="9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ht="15.75" customHeight="1">
      <c r="A463" s="9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ht="15.75" customHeight="1">
      <c r="A464" s="9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ht="15.75" customHeight="1">
      <c r="A465" s="9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ht="15.75" customHeight="1">
      <c r="A466" s="9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ht="15.75" customHeight="1">
      <c r="A467" s="9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ht="15.75" customHeight="1">
      <c r="A468" s="9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ht="15.75" customHeight="1">
      <c r="A469" s="9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ht="15.75" customHeight="1">
      <c r="A470" s="9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ht="15.75" customHeight="1">
      <c r="A471" s="9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ht="15.75" customHeight="1">
      <c r="A472" s="9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ht="15.75" customHeight="1">
      <c r="A473" s="9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ht="15.75" customHeight="1">
      <c r="A474" s="9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ht="15.75" customHeight="1">
      <c r="A475" s="9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ht="15.75" customHeight="1">
      <c r="A476" s="9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ht="15.75" customHeight="1">
      <c r="A477" s="9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ht="15.75" customHeight="1">
      <c r="A478" s="9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ht="15.75" customHeight="1">
      <c r="A479" s="9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ht="15.75" customHeight="1">
      <c r="A480" s="9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ht="15.75" customHeight="1">
      <c r="A481" s="9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ht="15.75" customHeight="1">
      <c r="A482" s="9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ht="15.75" customHeight="1">
      <c r="A483" s="9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ht="15.75" customHeight="1">
      <c r="A484" s="9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ht="15.75" customHeight="1">
      <c r="A485" s="9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ht="15.75" customHeight="1">
      <c r="A486" s="9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ht="15.75" customHeight="1">
      <c r="A487" s="9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ht="15.75" customHeight="1">
      <c r="A488" s="9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ht="15.75" customHeight="1">
      <c r="A489" s="9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ht="15.75" customHeight="1">
      <c r="A490" s="9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ht="15.75" customHeight="1">
      <c r="A491" s="9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ht="15.75" customHeight="1">
      <c r="A492" s="9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ht="15.75" customHeight="1">
      <c r="A493" s="9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ht="15.75" customHeight="1">
      <c r="A494" s="9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ht="15.75" customHeight="1">
      <c r="A495" s="9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ht="15.75" customHeight="1">
      <c r="A496" s="9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ht="15.75" customHeight="1">
      <c r="A497" s="9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ht="15.75" customHeight="1">
      <c r="A498" s="9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ht="15.75" customHeight="1">
      <c r="A499" s="9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ht="15.75" customHeight="1">
      <c r="A500" s="9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ht="15.75" customHeight="1">
      <c r="A501" s="9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ht="15.75" customHeight="1">
      <c r="A502" s="9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ht="15.75" customHeight="1">
      <c r="A503" s="9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ht="15.75" customHeight="1">
      <c r="A504" s="9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ht="15.75" customHeight="1">
      <c r="A505" s="9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ht="15.75" customHeight="1">
      <c r="A506" s="9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ht="15.75" customHeight="1">
      <c r="A507" s="9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ht="15.75" customHeight="1">
      <c r="A508" s="9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ht="15.75" customHeight="1">
      <c r="A509" s="9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ht="15.75" customHeight="1">
      <c r="A510" s="9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ht="15.75" customHeight="1">
      <c r="A511" s="9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ht="15.75" customHeight="1">
      <c r="A512" s="9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ht="15.75" customHeight="1">
      <c r="A513" s="9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ht="15.75" customHeight="1">
      <c r="A514" s="9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ht="15.75" customHeight="1">
      <c r="A515" s="9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ht="15.75" customHeight="1">
      <c r="A516" s="9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ht="15.75" customHeight="1">
      <c r="A517" s="9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ht="15.75" customHeight="1">
      <c r="A518" s="9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ht="15.75" customHeight="1">
      <c r="A519" s="9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ht="15.75" customHeight="1">
      <c r="A520" s="9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ht="15.75" customHeight="1">
      <c r="A521" s="9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ht="15.75" customHeight="1">
      <c r="A522" s="9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ht="15.75" customHeight="1">
      <c r="A523" s="9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ht="15.75" customHeight="1">
      <c r="A524" s="9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ht="15.75" customHeight="1">
      <c r="A525" s="9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ht="15.75" customHeight="1">
      <c r="A526" s="9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ht="15.75" customHeight="1">
      <c r="A527" s="9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ht="15.75" customHeight="1">
      <c r="A528" s="9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ht="15.75" customHeight="1">
      <c r="A529" s="9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ht="15.75" customHeight="1">
      <c r="A530" s="9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ht="15.75" customHeight="1">
      <c r="A531" s="9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ht="15.75" customHeight="1">
      <c r="A532" s="9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ht="15.75" customHeight="1">
      <c r="A533" s="9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ht="15.75" customHeight="1">
      <c r="A534" s="9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ht="15.75" customHeight="1">
      <c r="A535" s="9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ht="15.75" customHeight="1">
      <c r="A536" s="9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ht="15.75" customHeight="1">
      <c r="A537" s="9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ht="15.75" customHeight="1">
      <c r="A538" s="9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ht="15.75" customHeight="1">
      <c r="A539" s="9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ht="15.75" customHeight="1">
      <c r="A540" s="9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ht="15.75" customHeight="1">
      <c r="A541" s="9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ht="15.75" customHeight="1">
      <c r="A542" s="9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ht="15.75" customHeight="1">
      <c r="A543" s="9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ht="15.75" customHeight="1">
      <c r="A544" s="9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ht="15.75" customHeight="1">
      <c r="A545" s="9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ht="15.75" customHeight="1">
      <c r="A546" s="9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ht="15.75" customHeight="1">
      <c r="A547" s="9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ht="15.75" customHeight="1">
      <c r="A548" s="9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ht="15.75" customHeight="1">
      <c r="A549" s="9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ht="15.75" customHeight="1">
      <c r="A550" s="9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ht="15.75" customHeight="1">
      <c r="A551" s="9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ht="15.75" customHeight="1">
      <c r="A552" s="9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ht="15.75" customHeight="1">
      <c r="A553" s="9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ht="15.75" customHeight="1">
      <c r="A554" s="9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ht="15.75" customHeight="1">
      <c r="A555" s="9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ht="15.75" customHeight="1">
      <c r="A556" s="9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ht="15.75" customHeight="1">
      <c r="A557" s="9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ht="15.75" customHeight="1">
      <c r="A558" s="9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ht="15.75" customHeight="1">
      <c r="A559" s="9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ht="15.75" customHeight="1">
      <c r="A560" s="9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ht="15.75" customHeight="1">
      <c r="A561" s="9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ht="15.75" customHeight="1">
      <c r="A562" s="9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ht="15.75" customHeight="1">
      <c r="A563" s="9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ht="15.75" customHeight="1">
      <c r="A564" s="9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ht="15.75" customHeight="1">
      <c r="A565" s="9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ht="15.75" customHeight="1">
      <c r="A566" s="9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ht="15.75" customHeight="1">
      <c r="A567" s="9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ht="15.75" customHeight="1">
      <c r="A568" s="9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ht="15.75" customHeight="1">
      <c r="A569" s="9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ht="15.75" customHeight="1">
      <c r="A570" s="9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ht="15.75" customHeight="1">
      <c r="A571" s="9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ht="15.75" customHeight="1">
      <c r="A572" s="9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ht="15.75" customHeight="1">
      <c r="A573" s="9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ht="15.75" customHeight="1">
      <c r="A574" s="9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ht="15.75" customHeight="1">
      <c r="A575" s="9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ht="15.75" customHeight="1">
      <c r="A576" s="9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ht="15.75" customHeight="1">
      <c r="A577" s="9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ht="15.75" customHeight="1">
      <c r="A578" s="9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ht="15.75" customHeight="1">
      <c r="A579" s="9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ht="15.75" customHeight="1">
      <c r="A580" s="9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ht="15.75" customHeight="1">
      <c r="A581" s="9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ht="15.75" customHeight="1">
      <c r="A582" s="9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ht="15.75" customHeight="1">
      <c r="A583" s="9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ht="15.75" customHeight="1">
      <c r="A584" s="9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ht="15.75" customHeight="1">
      <c r="A585" s="9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ht="15.75" customHeight="1">
      <c r="A586" s="9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ht="15.75" customHeight="1">
      <c r="A587" s="9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ht="15.75" customHeight="1">
      <c r="A588" s="9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ht="15.75" customHeight="1">
      <c r="A589" s="9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ht="15.75" customHeight="1">
      <c r="A590" s="9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ht="15.75" customHeight="1">
      <c r="A591" s="9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ht="15.75" customHeight="1">
      <c r="A592" s="9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ht="15.75" customHeight="1">
      <c r="A593" s="9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ht="15.75" customHeight="1">
      <c r="A594" s="9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ht="15.75" customHeight="1">
      <c r="A595" s="9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ht="15.75" customHeight="1">
      <c r="A596" s="9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ht="15.75" customHeight="1">
      <c r="A597" s="9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ht="15.75" customHeight="1">
      <c r="A598" s="9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ht="15.75" customHeight="1">
      <c r="A599" s="9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ht="15.75" customHeight="1">
      <c r="A600" s="9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ht="15.75" customHeight="1">
      <c r="A601" s="9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ht="15.75" customHeight="1">
      <c r="A602" s="9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ht="15.75" customHeight="1">
      <c r="A603" s="9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ht="15.75" customHeight="1">
      <c r="A604" s="9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ht="15.75" customHeight="1">
      <c r="A605" s="9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ht="15.75" customHeight="1">
      <c r="A606" s="9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ht="15.75" customHeight="1">
      <c r="A607" s="9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ht="15.75" customHeight="1">
      <c r="A608" s="9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ht="15.75" customHeight="1">
      <c r="A609" s="9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ht="15.75" customHeight="1">
      <c r="A610" s="9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ht="15.75" customHeight="1">
      <c r="A611" s="9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ht="15.75" customHeight="1">
      <c r="A612" s="9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ht="15.75" customHeight="1">
      <c r="A613" s="9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ht="15.75" customHeight="1">
      <c r="A614" s="9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ht="15.75" customHeight="1">
      <c r="A615" s="9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ht="15.75" customHeight="1">
      <c r="A616" s="9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ht="15.75" customHeight="1">
      <c r="A617" s="9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ht="15.75" customHeight="1">
      <c r="A618" s="9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ht="15.75" customHeight="1">
      <c r="A619" s="9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ht="15.75" customHeight="1">
      <c r="A620" s="9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ht="15.75" customHeight="1">
      <c r="A621" s="9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ht="15.75" customHeight="1">
      <c r="A622" s="9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ht="15.75" customHeight="1">
      <c r="A623" s="9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ht="15.75" customHeight="1">
      <c r="A624" s="9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ht="15.75" customHeight="1">
      <c r="A625" s="9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ht="15.75" customHeight="1">
      <c r="A626" s="9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ht="15.75" customHeight="1">
      <c r="A627" s="9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ht="15.75" customHeight="1">
      <c r="A628" s="9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ht="15.75" customHeight="1">
      <c r="A629" s="9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ht="15.75" customHeight="1">
      <c r="A630" s="9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ht="15.75" customHeight="1">
      <c r="A631" s="9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ht="15.75" customHeight="1">
      <c r="A632" s="9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ht="15.75" customHeight="1">
      <c r="A633" s="9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ht="15.75" customHeight="1">
      <c r="A634" s="9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ht="15.75" customHeight="1">
      <c r="A635" s="9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ht="15.75" customHeight="1">
      <c r="A636" s="9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ht="15.75" customHeight="1">
      <c r="A637" s="9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ht="15.75" customHeight="1">
      <c r="A638" s="9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ht="15.75" customHeight="1">
      <c r="A639" s="9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ht="15.75" customHeight="1">
      <c r="A640" s="9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ht="15.75" customHeight="1">
      <c r="A641" s="9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ht="15.75" customHeight="1">
      <c r="A642" s="9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ht="15.75" customHeight="1">
      <c r="A643" s="9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ht="15.75" customHeight="1">
      <c r="A644" s="9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ht="15.75" customHeight="1">
      <c r="A645" s="9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ht="15.75" customHeight="1">
      <c r="A646" s="9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ht="15.75" customHeight="1">
      <c r="A647" s="9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ht="15.75" customHeight="1">
      <c r="A648" s="9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ht="15.75" customHeight="1">
      <c r="A649" s="9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ht="15.75" customHeight="1">
      <c r="A650" s="9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ht="15.75" customHeight="1">
      <c r="A651" s="9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ht="15.75" customHeight="1">
      <c r="A652" s="9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ht="15.75" customHeight="1">
      <c r="A653" s="9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ht="15.75" customHeight="1">
      <c r="A654" s="9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ht="15.75" customHeight="1">
      <c r="A655" s="9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ht="15.75" customHeight="1">
      <c r="A656" s="9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ht="15.75" customHeight="1">
      <c r="A657" s="9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ht="15.75" customHeight="1">
      <c r="A658" s="9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ht="15.75" customHeight="1">
      <c r="A659" s="9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ht="15.75" customHeight="1">
      <c r="A660" s="9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ht="15.75" customHeight="1">
      <c r="A661" s="9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ht="15.75" customHeight="1">
      <c r="A662" s="9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ht="15.75" customHeight="1">
      <c r="A663" s="9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ht="15.75" customHeight="1">
      <c r="A664" s="9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ht="15.75" customHeight="1">
      <c r="A665" s="9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ht="15.75" customHeight="1">
      <c r="A666" s="9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ht="15.75" customHeight="1">
      <c r="A667" s="9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ht="15.75" customHeight="1">
      <c r="A668" s="9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ht="15.75" customHeight="1">
      <c r="A669" s="9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ht="15.75" customHeight="1">
      <c r="A670" s="9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ht="15.75" customHeight="1">
      <c r="A671" s="9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ht="15.75" customHeight="1">
      <c r="A672" s="9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ht="15.75" customHeight="1">
      <c r="A673" s="9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ht="15.75" customHeight="1">
      <c r="A674" s="9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ht="15.75" customHeight="1">
      <c r="A675" s="9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ht="15.75" customHeight="1">
      <c r="A676" s="9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ht="15.75" customHeight="1">
      <c r="A677" s="9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ht="15.75" customHeight="1">
      <c r="A678" s="9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ht="15.75" customHeight="1">
      <c r="A679" s="9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ht="15.75" customHeight="1">
      <c r="A680" s="9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ht="15.75" customHeight="1">
      <c r="A681" s="9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ht="15.75" customHeight="1">
      <c r="A682" s="9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ht="15.75" customHeight="1">
      <c r="A683" s="9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ht="15.75" customHeight="1">
      <c r="A684" s="9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ht="15.75" customHeight="1">
      <c r="A685" s="9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ht="15.75" customHeight="1">
      <c r="A686" s="9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ht="15.75" customHeight="1">
      <c r="A687" s="9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ht="15.75" customHeight="1">
      <c r="A688" s="9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ht="15.75" customHeight="1">
      <c r="A689" s="9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ht="15.75" customHeight="1">
      <c r="A690" s="9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ht="15.75" customHeight="1">
      <c r="A691" s="9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ht="15.75" customHeight="1">
      <c r="A692" s="9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ht="15.75" customHeight="1">
      <c r="A693" s="9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ht="15.75" customHeight="1">
      <c r="A694" s="9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ht="15.75" customHeight="1">
      <c r="A695" s="9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ht="15.75" customHeight="1">
      <c r="A696" s="9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ht="15.75" customHeight="1">
      <c r="A697" s="9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ht="15.75" customHeight="1">
      <c r="A698" s="9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ht="15.75" customHeight="1">
      <c r="A699" s="9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ht="15.75" customHeight="1">
      <c r="A700" s="9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ht="15.75" customHeight="1">
      <c r="A701" s="9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ht="15.75" customHeight="1">
      <c r="A702" s="9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ht="15.75" customHeight="1">
      <c r="A703" s="9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ht="15.75" customHeight="1">
      <c r="A704" s="9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ht="15.75" customHeight="1">
      <c r="A705" s="9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ht="15.75" customHeight="1">
      <c r="A706" s="9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ht="15.75" customHeight="1">
      <c r="A707" s="9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ht="15.75" customHeight="1">
      <c r="A708" s="9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ht="15.75" customHeight="1">
      <c r="A709" s="9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ht="15.75" customHeight="1">
      <c r="A710" s="9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ht="15.75" customHeight="1">
      <c r="A711" s="9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ht="15.75" customHeight="1">
      <c r="A712" s="9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ht="15.75" customHeight="1">
      <c r="A713" s="9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ht="15.75" customHeight="1">
      <c r="A714" s="9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ht="15.75" customHeight="1">
      <c r="A715" s="9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ht="15.75" customHeight="1">
      <c r="A716" s="9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ht="15.75" customHeight="1">
      <c r="A717" s="9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ht="15.75" customHeight="1">
      <c r="A718" s="9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ht="15.75" customHeight="1">
      <c r="A719" s="9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ht="15.75" customHeight="1">
      <c r="A720" s="9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ht="15.75" customHeight="1">
      <c r="A721" s="9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ht="15.75" customHeight="1">
      <c r="A722" s="9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ht="15.75" customHeight="1">
      <c r="A723" s="9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ht="15.75" customHeight="1">
      <c r="A724" s="9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ht="15.75" customHeight="1">
      <c r="A725" s="9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ht="15.75" customHeight="1">
      <c r="A726" s="9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ht="15.75" customHeight="1">
      <c r="A727" s="9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ht="15.75" customHeight="1">
      <c r="A728" s="9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ht="15.75" customHeight="1">
      <c r="A729" s="9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ht="15.75" customHeight="1">
      <c r="A730" s="9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ht="15.75" customHeight="1">
      <c r="A731" s="9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ht="15.75" customHeight="1">
      <c r="A732" s="9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ht="15.75" customHeight="1">
      <c r="A733" s="9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ht="15.75" customHeight="1">
      <c r="A734" s="9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ht="15.75" customHeight="1">
      <c r="A735" s="9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ht="15.75" customHeight="1">
      <c r="A736" s="9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ht="15.75" customHeight="1">
      <c r="A737" s="9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ht="15.75" customHeight="1">
      <c r="A738" s="9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ht="15.75" customHeight="1">
      <c r="A739" s="9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ht="15.75" customHeight="1">
      <c r="A740" s="9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ht="15.75" customHeight="1">
      <c r="A741" s="9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ht="15.75" customHeight="1">
      <c r="A742" s="9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ht="15.75" customHeight="1">
      <c r="A743" s="9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ht="15.75" customHeight="1">
      <c r="A744" s="9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ht="15.75" customHeight="1">
      <c r="A745" s="9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ht="15.75" customHeight="1">
      <c r="A746" s="9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ht="15.75" customHeight="1">
      <c r="A747" s="9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ht="15.75" customHeight="1">
      <c r="A748" s="9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ht="15.75" customHeight="1">
      <c r="A749" s="9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ht="15.75" customHeight="1">
      <c r="A750" s="9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ht="15.75" customHeight="1">
      <c r="A751" s="9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ht="15.75" customHeight="1">
      <c r="A752" s="9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ht="15.75" customHeight="1">
      <c r="A753" s="9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ht="15.75" customHeight="1">
      <c r="A754" s="9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ht="15.75" customHeight="1">
      <c r="A755" s="9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ht="15.75" customHeight="1">
      <c r="A756" s="9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ht="15.75" customHeight="1">
      <c r="A757" s="9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ht="15.75" customHeight="1">
      <c r="A758" s="9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ht="15.75" customHeight="1">
      <c r="A759" s="9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ht="15.75" customHeight="1">
      <c r="A760" s="9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ht="15.75" customHeight="1">
      <c r="A761" s="9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ht="15.75" customHeight="1">
      <c r="A762" s="9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ht="15.75" customHeight="1">
      <c r="A763" s="9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ht="15.75" customHeight="1">
      <c r="A764" s="9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ht="15.75" customHeight="1">
      <c r="A765" s="9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ht="15.75" customHeight="1">
      <c r="A766" s="9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ht="15.75" customHeight="1">
      <c r="A767" s="9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ht="15.75" customHeight="1">
      <c r="A768" s="9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ht="15.75" customHeight="1">
      <c r="A769" s="9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ht="15.75" customHeight="1">
      <c r="A770" s="9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ht="15.75" customHeight="1">
      <c r="A771" s="9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ht="15.75" customHeight="1">
      <c r="A772" s="9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ht="15.75" customHeight="1">
      <c r="A773" s="9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ht="15.75" customHeight="1">
      <c r="A774" s="9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ht="15.75" customHeight="1">
      <c r="A775" s="9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ht="15.75" customHeight="1">
      <c r="A776" s="9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ht="15.75" customHeight="1">
      <c r="A777" s="9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ht="15.75" customHeight="1">
      <c r="A778" s="9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ht="15.75" customHeight="1">
      <c r="A779" s="9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ht="15.75" customHeight="1">
      <c r="A780" s="9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ht="15.75" customHeight="1">
      <c r="A781" s="9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ht="15.75" customHeight="1">
      <c r="A782" s="9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ht="15.75" customHeight="1">
      <c r="A783" s="9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ht="15.75" customHeight="1">
      <c r="A784" s="9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ht="15.75" customHeight="1">
      <c r="A785" s="9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ht="15.75" customHeight="1">
      <c r="A786" s="9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ht="15.75" customHeight="1">
      <c r="A787" s="9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ht="15.75" customHeight="1">
      <c r="A788" s="9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ht="15.75" customHeight="1">
      <c r="A789" s="9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ht="15.75" customHeight="1">
      <c r="A790" s="9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ht="15.75" customHeight="1">
      <c r="A791" s="9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ht="15.75" customHeight="1">
      <c r="A792" s="9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ht="15.75" customHeight="1">
      <c r="A793" s="9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ht="15.75" customHeight="1">
      <c r="A794" s="9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ht="15.75" customHeight="1">
      <c r="A795" s="9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ht="15.75" customHeight="1">
      <c r="A796" s="9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ht="15.75" customHeight="1">
      <c r="A797" s="9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ht="15.75" customHeight="1">
      <c r="A798" s="9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ht="15.75" customHeight="1">
      <c r="A799" s="9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ht="15.75" customHeight="1">
      <c r="A800" s="9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ht="15.75" customHeight="1">
      <c r="A801" s="9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ht="15.75" customHeight="1">
      <c r="A802" s="9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ht="15.75" customHeight="1">
      <c r="A803" s="9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ht="15.75" customHeight="1">
      <c r="A804" s="9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ht="15.75" customHeight="1">
      <c r="A805" s="9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ht="15.75" customHeight="1">
      <c r="A806" s="9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ht="15.75" customHeight="1">
      <c r="A807" s="9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ht="15.75" customHeight="1">
      <c r="A808" s="9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ht="15.75" customHeight="1">
      <c r="A809" s="9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ht="15.75" customHeight="1">
      <c r="A810" s="9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ht="15.75" customHeight="1">
      <c r="A811" s="9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ht="15.75" customHeight="1">
      <c r="A812" s="9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ht="15.75" customHeight="1">
      <c r="A813" s="9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ht="15.75" customHeight="1">
      <c r="A814" s="9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ht="15.75" customHeight="1">
      <c r="A815" s="9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ht="15.75" customHeight="1">
      <c r="A816" s="9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ht="15.75" customHeight="1">
      <c r="A817" s="9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ht="15.75" customHeight="1">
      <c r="A818" s="9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ht="15.75" customHeight="1">
      <c r="A819" s="9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ht="15.75" customHeight="1">
      <c r="A820" s="9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ht="15.75" customHeight="1">
      <c r="A821" s="9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ht="15.75" customHeight="1">
      <c r="A822" s="9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ht="15.75" customHeight="1">
      <c r="A823" s="9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ht="15.75" customHeight="1">
      <c r="A824" s="9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ht="15.75" customHeight="1">
      <c r="A825" s="9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ht="15.75" customHeight="1">
      <c r="A826" s="9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ht="15.75" customHeight="1">
      <c r="A827" s="9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ht="15.75" customHeight="1">
      <c r="A828" s="9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ht="15.75" customHeight="1">
      <c r="A829" s="9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ht="15.75" customHeight="1">
      <c r="A830" s="9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ht="15.75" customHeight="1">
      <c r="A831" s="9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ht="15.75" customHeight="1">
      <c r="A832" s="9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ht="15.75" customHeight="1">
      <c r="A833" s="9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ht="15.75" customHeight="1">
      <c r="A834" s="9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ht="15.75" customHeight="1">
      <c r="A835" s="9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ht="15.75" customHeight="1">
      <c r="A836" s="9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ht="15.75" customHeight="1">
      <c r="A837" s="9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ht="15.75" customHeight="1">
      <c r="A838" s="9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ht="15.75" customHeight="1">
      <c r="A839" s="9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ht="15.75" customHeight="1">
      <c r="A840" s="9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ht="15.75" customHeight="1">
      <c r="A841" s="9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ht="15.75" customHeight="1">
      <c r="A842" s="9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ht="15.75" customHeight="1">
      <c r="A843" s="9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ht="15.75" customHeight="1">
      <c r="A844" s="9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ht="15.75" customHeight="1">
      <c r="A845" s="9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ht="15.75" customHeight="1">
      <c r="A846" s="9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ht="15.75" customHeight="1">
      <c r="A847" s="9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ht="15.75" customHeight="1">
      <c r="A848" s="9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ht="15.75" customHeight="1">
      <c r="A849" s="9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ht="15.75" customHeight="1">
      <c r="A850" s="9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ht="15.75" customHeight="1">
      <c r="A851" s="9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ht="15.75" customHeight="1">
      <c r="A852" s="9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ht="15.75" customHeight="1">
      <c r="A853" s="9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ht="15.75" customHeight="1">
      <c r="A854" s="9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ht="15.75" customHeight="1">
      <c r="A855" s="9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ht="15.75" customHeight="1">
      <c r="A856" s="9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ht="15.75" customHeight="1">
      <c r="A857" s="9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ht="15.75" customHeight="1">
      <c r="A858" s="9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ht="15.75" customHeight="1">
      <c r="A859" s="9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ht="15.75" customHeight="1">
      <c r="A860" s="9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ht="15.75" customHeight="1">
      <c r="A861" s="9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ht="15.75" customHeight="1">
      <c r="A862" s="9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ht="15.75" customHeight="1">
      <c r="A863" s="9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ht="15.75" customHeight="1">
      <c r="A864" s="9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ht="15.75" customHeight="1">
      <c r="A865" s="9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ht="15.75" customHeight="1">
      <c r="A866" s="9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ht="15.75" customHeight="1">
      <c r="A867" s="9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ht="15.75" customHeight="1">
      <c r="A868" s="9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ht="15.75" customHeight="1">
      <c r="A869" s="9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ht="15.75" customHeight="1">
      <c r="A870" s="9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ht="15.75" customHeight="1">
      <c r="A871" s="9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ht="15.75" customHeight="1">
      <c r="A872" s="9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ht="15.75" customHeight="1">
      <c r="A873" s="9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ht="15.75" customHeight="1">
      <c r="A874" s="9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ht="15.75" customHeight="1">
      <c r="A875" s="9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ht="15.75" customHeight="1">
      <c r="A876" s="9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ht="15.75" customHeight="1">
      <c r="A877" s="9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ht="15.75" customHeight="1">
      <c r="A878" s="9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ht="15.75" customHeight="1">
      <c r="A879" s="9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ht="15.75" customHeight="1">
      <c r="A880" s="9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ht="15.75" customHeight="1">
      <c r="A881" s="9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ht="15.75" customHeight="1">
      <c r="A882" s="9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ht="15.75" customHeight="1">
      <c r="A883" s="9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ht="15.75" customHeight="1">
      <c r="A884" s="9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ht="15.75" customHeight="1">
      <c r="A885" s="9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ht="15.75" customHeight="1">
      <c r="A886" s="9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ht="15.75" customHeight="1">
      <c r="A887" s="9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ht="15.75" customHeight="1">
      <c r="A888" s="9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ht="15.75" customHeight="1">
      <c r="A889" s="9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ht="15.75" customHeight="1">
      <c r="A890" s="9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ht="15.75" customHeight="1">
      <c r="A891" s="9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ht="15.75" customHeight="1">
      <c r="A892" s="9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ht="15.75" customHeight="1">
      <c r="A893" s="9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ht="15.75" customHeight="1">
      <c r="A894" s="9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ht="15.75" customHeight="1">
      <c r="A895" s="9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ht="15.75" customHeight="1">
      <c r="A896" s="9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ht="15.75" customHeight="1">
      <c r="A897" s="9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ht="15.75" customHeight="1">
      <c r="A898" s="9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ht="15.75" customHeight="1">
      <c r="A899" s="9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ht="15.75" customHeight="1">
      <c r="A900" s="9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ht="15.75" customHeight="1">
      <c r="A901" s="9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ht="15.75" customHeight="1">
      <c r="A902" s="9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ht="15.75" customHeight="1">
      <c r="A903" s="9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ht="15.75" customHeight="1">
      <c r="A904" s="9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ht="15.75" customHeight="1">
      <c r="A905" s="9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ht="15.75" customHeight="1">
      <c r="A906" s="9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ht="15.75" customHeight="1">
      <c r="A907" s="9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ht="15.75" customHeight="1">
      <c r="A908" s="9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ht="15.75" customHeight="1">
      <c r="A909" s="9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ht="15.75" customHeight="1">
      <c r="A910" s="9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ht="15.75" customHeight="1">
      <c r="A911" s="9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ht="15.75" customHeight="1">
      <c r="A912" s="9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ht="15.75" customHeight="1">
      <c r="A913" s="9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ht="15.75" customHeight="1">
      <c r="A914" s="9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ht="15.75" customHeight="1">
      <c r="A915" s="9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ht="15.75" customHeight="1">
      <c r="A916" s="9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ht="15.75" customHeight="1">
      <c r="A917" s="9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ht="15.75" customHeight="1">
      <c r="A918" s="9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ht="15.75" customHeight="1">
      <c r="A919" s="9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ht="15.75" customHeight="1">
      <c r="A920" s="9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ht="15.75" customHeight="1">
      <c r="A921" s="9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ht="15.75" customHeight="1">
      <c r="A922" s="9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ht="15.75" customHeight="1">
      <c r="A923" s="9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ht="15.75" customHeight="1">
      <c r="A924" s="9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ht="15.75" customHeight="1">
      <c r="A925" s="9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ht="15.75" customHeight="1">
      <c r="A926" s="9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ht="15.75" customHeight="1">
      <c r="A927" s="9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ht="15.75" customHeight="1">
      <c r="A928" s="9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ht="15.75" customHeight="1">
      <c r="A929" s="9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ht="15.75" customHeight="1">
      <c r="A930" s="9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ht="15.75" customHeight="1">
      <c r="A931" s="9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ht="15.75" customHeight="1">
      <c r="A932" s="9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ht="15.75" customHeight="1">
      <c r="A933" s="9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ht="15.75" customHeight="1">
      <c r="A934" s="9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ht="15.75" customHeight="1">
      <c r="A935" s="9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ht="15.75" customHeight="1">
      <c r="A936" s="9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ht="15.75" customHeight="1">
      <c r="A937" s="9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ht="15.75" customHeight="1">
      <c r="A938" s="9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ht="15.75" customHeight="1">
      <c r="A939" s="9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ht="15.75" customHeight="1">
      <c r="A940" s="9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ht="15.75" customHeight="1">
      <c r="A941" s="9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ht="15.75" customHeight="1">
      <c r="A942" s="9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ht="15.75" customHeight="1">
      <c r="A943" s="9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ht="15.75" customHeight="1">
      <c r="A944" s="9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ht="15.75" customHeight="1">
      <c r="A945" s="9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ht="15.75" customHeight="1">
      <c r="A946" s="9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ht="15.75" customHeight="1">
      <c r="A947" s="9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ht="15.75" customHeight="1">
      <c r="A948" s="9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ht="15.75" customHeight="1">
      <c r="A949" s="9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ht="15.75" customHeight="1">
      <c r="A950" s="9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ht="15.75" customHeight="1">
      <c r="A951" s="9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ht="15.75" customHeight="1">
      <c r="A952" s="9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ht="15.75" customHeight="1">
      <c r="A953" s="9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ht="15.75" customHeight="1">
      <c r="A954" s="9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ht="15.75" customHeight="1">
      <c r="A955" s="9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ht="15.75" customHeight="1">
      <c r="A956" s="9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ht="15.75" customHeight="1">
      <c r="A957" s="9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ht="15.75" customHeight="1">
      <c r="A958" s="9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ht="15.75" customHeight="1">
      <c r="A959" s="9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ht="15.75" customHeight="1">
      <c r="A960" s="9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ht="15.75" customHeight="1">
      <c r="A961" s="9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ht="15.75" customHeight="1">
      <c r="A962" s="9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ht="15.75" customHeight="1">
      <c r="A963" s="9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ht="15.75" customHeight="1">
      <c r="A964" s="9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ht="15.75" customHeight="1">
      <c r="A965" s="9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ht="15.75" customHeight="1">
      <c r="A966" s="9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ht="15.75" customHeight="1">
      <c r="A967" s="9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ht="15.75" customHeight="1">
      <c r="A968" s="9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ht="15.75" customHeight="1">
      <c r="A969" s="9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ht="15.75" customHeight="1">
      <c r="A970" s="9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ht="15.75" customHeight="1">
      <c r="A971" s="9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ht="15.75" customHeight="1">
      <c r="A972" s="9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ht="15.75" customHeight="1">
      <c r="A973" s="9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ht="15.75" customHeight="1">
      <c r="A974" s="9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ht="15.75" customHeight="1">
      <c r="A975" s="9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ht="15.75" customHeight="1">
      <c r="A976" s="9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ht="15.75" customHeight="1">
      <c r="A977" s="9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ht="15.75" customHeight="1">
      <c r="A978" s="9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ht="15.75" customHeight="1">
      <c r="A979" s="9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ht="15.75" customHeight="1">
      <c r="A980" s="9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ht="15.75" customHeight="1">
      <c r="A981" s="9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ht="15.75" customHeight="1">
      <c r="A982" s="9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ht="15.75" customHeight="1">
      <c r="A983" s="9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ht="15.75" customHeight="1">
      <c r="A984" s="9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ht="15.75" customHeight="1">
      <c r="A985" s="9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ht="15.75" customHeight="1">
      <c r="A986" s="9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ht="15.75" customHeight="1">
      <c r="A987" s="9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ht="15.75" customHeight="1">
      <c r="A988" s="9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ht="15.75" customHeight="1">
      <c r="A989" s="9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ht="15.75" customHeight="1">
      <c r="A990" s="9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ht="15.75" customHeight="1">
      <c r="A991" s="9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ht="15.75" customHeight="1">
      <c r="A992" s="9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ht="15.75" customHeight="1">
      <c r="A993" s="9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ht="15.75" customHeight="1">
      <c r="A994" s="9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ht="15.75" customHeight="1">
      <c r="A995" s="9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ht="15.75" customHeight="1">
      <c r="A996" s="9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ht="15.75" customHeight="1">
      <c r="A997" s="9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ht="15.75" customHeight="1">
      <c r="A998" s="9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ht="15.75" customHeight="1">
      <c r="A999" s="9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ht="15.75" customHeight="1">
      <c r="A1000" s="9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38">
    <mergeCell ref="R7:T9"/>
    <mergeCell ref="U7:X7"/>
    <mergeCell ref="U8:X8"/>
    <mergeCell ref="U9:X9"/>
    <mergeCell ref="Y7:AA7"/>
    <mergeCell ref="Y8:AA8"/>
    <mergeCell ref="J9:M10"/>
    <mergeCell ref="N9:O10"/>
    <mergeCell ref="H11:I13"/>
    <mergeCell ref="J11:M13"/>
    <mergeCell ref="A16:B16"/>
    <mergeCell ref="A18:A29"/>
    <mergeCell ref="B18:B23"/>
    <mergeCell ref="B24:B29"/>
    <mergeCell ref="A30:A35"/>
    <mergeCell ref="B30:B35"/>
    <mergeCell ref="A1:AA6"/>
    <mergeCell ref="A7:B12"/>
    <mergeCell ref="C7:C12"/>
    <mergeCell ref="F7:G13"/>
    <mergeCell ref="H7:I10"/>
    <mergeCell ref="J7:M8"/>
    <mergeCell ref="N7:O8"/>
    <mergeCell ref="N11:O13"/>
    <mergeCell ref="R10:T12"/>
    <mergeCell ref="R14:U14"/>
    <mergeCell ref="V14:X14"/>
    <mergeCell ref="Y14:Z14"/>
    <mergeCell ref="AE16:AI16"/>
    <mergeCell ref="AK16:AO16"/>
    <mergeCell ref="A17:AA17"/>
    <mergeCell ref="Y9:AA9"/>
    <mergeCell ref="U10:X10"/>
    <mergeCell ref="Y10:AA10"/>
    <mergeCell ref="U11:X11"/>
    <mergeCell ref="Y11:AA11"/>
    <mergeCell ref="U12:X12"/>
    <mergeCell ref="Y12:AA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7.5"/>
    <col customWidth="1" min="3" max="3" width="14.88"/>
    <col customWidth="1" min="4" max="4" width="7.5"/>
    <col customWidth="1" min="5" max="5" width="8.0"/>
    <col customWidth="1" min="6" max="18" width="7.5"/>
    <col customWidth="1" min="19" max="19" width="8.5"/>
    <col customWidth="1" min="20" max="22" width="7.5"/>
    <col customWidth="1" min="23" max="23" width="8.25"/>
    <col customWidth="1" min="24" max="26" width="7.5"/>
    <col customWidth="1" min="27" max="27" width="8.5"/>
    <col customWidth="1" min="28" max="28" width="11.0"/>
    <col customWidth="1" min="29" max="29" width="7.88"/>
    <col customWidth="1" min="30" max="30" width="0.88"/>
    <col customWidth="1" min="31" max="31" width="15.5"/>
    <col customWidth="1" min="32" max="41" width="7.88"/>
  </cols>
  <sheetData>
    <row r="1" ht="15.0" customHeight="1">
      <c r="A1" s="95" t="s">
        <v>51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.0" customHeight="1"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15.0" customHeight="1"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15.0" customHeight="1"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ht="15.0" customHeight="1"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ht="15.0" customHeight="1"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ht="15.75" customHeight="1">
      <c r="A7" s="96" t="s">
        <v>1</v>
      </c>
      <c r="B7" s="4"/>
      <c r="C7" s="5">
        <v>120.0</v>
      </c>
      <c r="D7" s="6"/>
      <c r="E7" s="6"/>
      <c r="F7" s="7" t="s">
        <v>2</v>
      </c>
      <c r="G7" s="8"/>
      <c r="H7" s="9" t="str">
        <f>A18</f>
        <v>ESL &amp; SPEAKING</v>
      </c>
      <c r="I7" s="10"/>
      <c r="J7" s="97" t="str">
        <f>B18</f>
        <v>INTENSIVE ESL</v>
      </c>
      <c r="K7" s="12"/>
      <c r="L7" s="12"/>
      <c r="M7" s="8"/>
      <c r="N7" s="98">
        <v>1000.0</v>
      </c>
      <c r="O7" s="4"/>
      <c r="P7" s="6"/>
      <c r="Q7" s="6"/>
      <c r="R7" s="14" t="s">
        <v>3</v>
      </c>
      <c r="S7" s="12"/>
      <c r="T7" s="4"/>
      <c r="U7" s="15" t="s">
        <v>4</v>
      </c>
      <c r="V7" s="16"/>
      <c r="W7" s="16"/>
      <c r="X7" s="17"/>
      <c r="Y7" s="18">
        <v>1400.0</v>
      </c>
      <c r="Z7" s="16"/>
      <c r="AA7" s="19"/>
      <c r="AB7" s="20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ht="15.75" customHeight="1">
      <c r="A8" s="21"/>
      <c r="B8" s="22"/>
      <c r="C8" s="23"/>
      <c r="D8" s="24"/>
      <c r="E8" s="24"/>
      <c r="F8" s="25"/>
      <c r="G8" s="26"/>
      <c r="H8" s="25"/>
      <c r="I8" s="22"/>
      <c r="J8" s="99"/>
      <c r="K8" s="28"/>
      <c r="L8" s="28"/>
      <c r="M8" s="100"/>
      <c r="N8" s="27"/>
      <c r="O8" s="29"/>
      <c r="P8" s="24"/>
      <c r="Q8" s="24"/>
      <c r="R8" s="25"/>
      <c r="T8" s="22"/>
      <c r="U8" s="30" t="s">
        <v>5</v>
      </c>
      <c r="V8" s="31"/>
      <c r="W8" s="31"/>
      <c r="X8" s="32"/>
      <c r="Y8" s="33">
        <v>970.0</v>
      </c>
      <c r="Z8" s="31"/>
      <c r="AA8" s="34"/>
      <c r="AB8" s="20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ht="15.75" customHeight="1">
      <c r="A9" s="21"/>
      <c r="B9" s="22"/>
      <c r="C9" s="23"/>
      <c r="D9" s="24"/>
      <c r="E9" s="24"/>
      <c r="F9" s="25"/>
      <c r="G9" s="26"/>
      <c r="H9" s="25"/>
      <c r="I9" s="22"/>
      <c r="J9" s="101" t="str">
        <f>B24</f>
        <v>GENERAL ESL</v>
      </c>
      <c r="K9" s="42"/>
      <c r="L9" s="42"/>
      <c r="M9" s="10"/>
      <c r="N9" s="48">
        <v>870.0</v>
      </c>
      <c r="O9" s="102"/>
      <c r="P9" s="35"/>
      <c r="Q9" s="36"/>
      <c r="R9" s="37"/>
      <c r="S9" s="38"/>
      <c r="T9" s="39"/>
      <c r="U9" s="30" t="s">
        <v>6</v>
      </c>
      <c r="V9" s="31"/>
      <c r="W9" s="31"/>
      <c r="X9" s="32"/>
      <c r="Y9" s="33">
        <v>810.0</v>
      </c>
      <c r="Z9" s="31"/>
      <c r="AA9" s="34"/>
      <c r="AB9" s="20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ht="15.75" customHeight="1">
      <c r="A10" s="21"/>
      <c r="B10" s="22"/>
      <c r="C10" s="23"/>
      <c r="D10" s="24"/>
      <c r="E10" s="24"/>
      <c r="F10" s="25"/>
      <c r="G10" s="26"/>
      <c r="H10" s="25"/>
      <c r="I10" s="22"/>
      <c r="J10" s="49"/>
      <c r="K10" s="38"/>
      <c r="L10" s="38"/>
      <c r="M10" s="39"/>
      <c r="N10" s="27"/>
      <c r="O10" s="103"/>
      <c r="P10" s="40"/>
      <c r="Q10" s="24"/>
      <c r="R10" s="41" t="s">
        <v>7</v>
      </c>
      <c r="S10" s="42"/>
      <c r="T10" s="10"/>
      <c r="U10" s="43" t="s">
        <v>8</v>
      </c>
      <c r="V10" s="31"/>
      <c r="W10" s="31"/>
      <c r="X10" s="32"/>
      <c r="Y10" s="44">
        <v>1690.0</v>
      </c>
      <c r="Z10" s="31"/>
      <c r="AA10" s="34"/>
      <c r="AB10" s="20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ht="15.75" customHeight="1">
      <c r="A11" s="21"/>
      <c r="B11" s="22"/>
      <c r="C11" s="23"/>
      <c r="D11" s="45"/>
      <c r="E11" s="46"/>
      <c r="F11" s="25"/>
      <c r="G11" s="26"/>
      <c r="H11" s="25"/>
      <c r="I11" s="22"/>
      <c r="J11" s="97" t="str">
        <f>B30</f>
        <v>IPS - Intensive Power Speaking</v>
      </c>
      <c r="K11" s="12"/>
      <c r="L11" s="12"/>
      <c r="M11" s="8"/>
      <c r="N11" s="48">
        <v>1100.0</v>
      </c>
      <c r="O11" s="10"/>
      <c r="P11" s="24"/>
      <c r="Q11" s="24"/>
      <c r="R11" s="25"/>
      <c r="T11" s="22"/>
      <c r="U11" s="43" t="s">
        <v>10</v>
      </c>
      <c r="V11" s="31"/>
      <c r="W11" s="31"/>
      <c r="X11" s="32"/>
      <c r="Y11" s="44">
        <v>1100.0</v>
      </c>
      <c r="Z11" s="31"/>
      <c r="AA11" s="34"/>
      <c r="AB11" s="20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ht="15.75" customHeight="1">
      <c r="A12" s="49"/>
      <c r="B12" s="39"/>
      <c r="C12" s="50"/>
      <c r="D12" s="45"/>
      <c r="E12" s="46"/>
      <c r="F12" s="25"/>
      <c r="G12" s="26"/>
      <c r="H12" s="25"/>
      <c r="I12" s="22"/>
      <c r="J12" s="49"/>
      <c r="K12" s="38"/>
      <c r="L12" s="38"/>
      <c r="M12" s="52"/>
      <c r="N12" s="37"/>
      <c r="O12" s="39"/>
      <c r="P12" s="24"/>
      <c r="Q12" s="24"/>
      <c r="R12" s="37"/>
      <c r="S12" s="38"/>
      <c r="T12" s="39"/>
      <c r="U12" s="43" t="s">
        <v>11</v>
      </c>
      <c r="V12" s="31"/>
      <c r="W12" s="31"/>
      <c r="X12" s="32"/>
      <c r="Y12" s="44">
        <v>890.0</v>
      </c>
      <c r="Z12" s="31"/>
      <c r="AA12" s="34"/>
      <c r="AB12" s="20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ht="25.5" customHeight="1">
      <c r="A13" s="51"/>
      <c r="B13" s="24"/>
      <c r="C13" s="24"/>
      <c r="D13" s="24"/>
      <c r="E13" s="24"/>
      <c r="F13" s="37"/>
      <c r="G13" s="52"/>
      <c r="H13" s="37"/>
      <c r="I13" s="39"/>
      <c r="J13" s="104" t="s">
        <v>52</v>
      </c>
      <c r="K13" s="105"/>
      <c r="L13" s="105"/>
      <c r="M13" s="106"/>
      <c r="N13" s="107">
        <v>750.0</v>
      </c>
      <c r="O13" s="108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53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ht="15.0" customHeight="1">
      <c r="A14" s="51"/>
      <c r="B14" s="24"/>
      <c r="C14" s="24"/>
      <c r="D14" s="24"/>
      <c r="E14" s="24"/>
      <c r="F14" s="24"/>
      <c r="G14" s="24"/>
      <c r="H14" s="24"/>
      <c r="I14" s="24"/>
      <c r="J14" s="54"/>
      <c r="K14" s="55"/>
      <c r="L14" s="55"/>
      <c r="M14" s="56"/>
      <c r="N14" s="57"/>
      <c r="O14" s="56"/>
      <c r="P14" s="24"/>
      <c r="Q14" s="24"/>
      <c r="R14" s="58" t="s">
        <v>12</v>
      </c>
      <c r="S14" s="31"/>
      <c r="T14" s="31"/>
      <c r="U14" s="32"/>
      <c r="V14" s="59" t="s">
        <v>13</v>
      </c>
      <c r="W14" s="31"/>
      <c r="X14" s="32"/>
      <c r="Y14" s="60" t="s">
        <v>14</v>
      </c>
      <c r="Z14" s="32"/>
      <c r="AA14" s="53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ht="16.5" customHeight="1">
      <c r="A15" s="51"/>
      <c r="B15" s="24"/>
      <c r="C15" s="24"/>
      <c r="D15" s="61">
        <v>0.45</v>
      </c>
      <c r="E15" s="61">
        <v>0.65</v>
      </c>
      <c r="F15" s="61">
        <v>0.85</v>
      </c>
      <c r="G15" s="24"/>
      <c r="H15" s="62"/>
      <c r="I15" s="6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53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ht="24.0" customHeight="1">
      <c r="A16" s="64" t="s">
        <v>15</v>
      </c>
      <c r="B16" s="32"/>
      <c r="C16" s="65" t="s">
        <v>16</v>
      </c>
      <c r="D16" s="65" t="s">
        <v>17</v>
      </c>
      <c r="E16" s="65" t="s">
        <v>18</v>
      </c>
      <c r="F16" s="65" t="s">
        <v>19</v>
      </c>
      <c r="G16" s="65" t="s">
        <v>20</v>
      </c>
      <c r="H16" s="65" t="s">
        <v>21</v>
      </c>
      <c r="I16" s="65" t="s">
        <v>22</v>
      </c>
      <c r="J16" s="65" t="s">
        <v>23</v>
      </c>
      <c r="K16" s="65" t="s">
        <v>24</v>
      </c>
      <c r="L16" s="65" t="s">
        <v>25</v>
      </c>
      <c r="M16" s="65" t="s">
        <v>26</v>
      </c>
      <c r="N16" s="65" t="s">
        <v>27</v>
      </c>
      <c r="O16" s="65" t="s">
        <v>28</v>
      </c>
      <c r="P16" s="65" t="s">
        <v>29</v>
      </c>
      <c r="Q16" s="65" t="s">
        <v>30</v>
      </c>
      <c r="R16" s="65" t="s">
        <v>31</v>
      </c>
      <c r="S16" s="65" t="s">
        <v>32</v>
      </c>
      <c r="T16" s="65" t="s">
        <v>33</v>
      </c>
      <c r="U16" s="65" t="s">
        <v>34</v>
      </c>
      <c r="V16" s="65" t="s">
        <v>35</v>
      </c>
      <c r="W16" s="65" t="s">
        <v>36</v>
      </c>
      <c r="X16" s="65" t="s">
        <v>37</v>
      </c>
      <c r="Y16" s="65" t="s">
        <v>38</v>
      </c>
      <c r="Z16" s="65" t="s">
        <v>39</v>
      </c>
      <c r="AA16" s="66" t="s">
        <v>40</v>
      </c>
      <c r="AB16" s="67"/>
      <c r="AC16" s="67"/>
      <c r="AD16" s="67"/>
      <c r="AE16" s="68" t="s">
        <v>41</v>
      </c>
      <c r="AF16" s="69"/>
      <c r="AG16" s="69"/>
      <c r="AH16" s="69"/>
      <c r="AI16" s="69"/>
      <c r="AJ16" s="70"/>
      <c r="AK16" s="68" t="s">
        <v>42</v>
      </c>
      <c r="AL16" s="69"/>
      <c r="AM16" s="69"/>
      <c r="AN16" s="69"/>
      <c r="AO16" s="69"/>
    </row>
    <row r="17" ht="4.5" customHeight="1">
      <c r="A17" s="7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ht="21.75" customHeight="1">
      <c r="A18" s="109" t="s">
        <v>53</v>
      </c>
      <c r="B18" s="110" t="s">
        <v>54</v>
      </c>
      <c r="C18" s="74" t="s">
        <v>4</v>
      </c>
      <c r="D18" s="75">
        <f>G18*D15</f>
        <v>1080</v>
      </c>
      <c r="E18" s="76">
        <f>G18*E15</f>
        <v>1560</v>
      </c>
      <c r="F18" s="76">
        <f>G18*F15</f>
        <v>2040</v>
      </c>
      <c r="G18" s="77">
        <f>N7+Y7</f>
        <v>2400</v>
      </c>
      <c r="H18" s="76">
        <f t="shared" ref="H18:H41" si="1">G18+(G18*0.25)</f>
        <v>3000</v>
      </c>
      <c r="I18" s="76">
        <f t="shared" ref="I18:I41" si="2">G18+(G18*0.5)</f>
        <v>3600</v>
      </c>
      <c r="J18" s="76">
        <f t="shared" ref="J18:J41" si="3">G18+(G18*0.75)</f>
        <v>4200</v>
      </c>
      <c r="K18" s="77">
        <f t="shared" ref="K18:K19" si="4">G18*2</f>
        <v>4800</v>
      </c>
      <c r="L18" s="76">
        <f t="shared" ref="L18:L41" si="5">K18+(G18*0.25)</f>
        <v>5400</v>
      </c>
      <c r="M18" s="76">
        <f t="shared" ref="M18:M41" si="6">K18+(G18*0.5)</f>
        <v>6000</v>
      </c>
      <c r="N18" s="76">
        <f t="shared" ref="N18:N41" si="7">K18+(G18*0.75)</f>
        <v>6600</v>
      </c>
      <c r="O18" s="77">
        <f t="shared" ref="O18:O19" si="8">G18*3</f>
        <v>7200</v>
      </c>
      <c r="P18" s="76">
        <f t="shared" ref="P18:P41" si="9">O18+(G18*0.25)</f>
        <v>7800</v>
      </c>
      <c r="Q18" s="76">
        <f t="shared" ref="Q18:Q41" si="10">O18+(G18*0.5)</f>
        <v>8400</v>
      </c>
      <c r="R18" s="76">
        <f t="shared" ref="R18:R41" si="11">O18+(G18*0.75)</f>
        <v>9000</v>
      </c>
      <c r="S18" s="77">
        <f t="shared" ref="S18:S41" si="12">G18*4</f>
        <v>9600</v>
      </c>
      <c r="T18" s="76">
        <f t="shared" ref="T18:T41" si="13">S18+(G18*0.25)</f>
        <v>10200</v>
      </c>
      <c r="U18" s="76">
        <f t="shared" ref="U18:U41" si="14">S18+(G18*0.5)</f>
        <v>10800</v>
      </c>
      <c r="V18" s="76">
        <f t="shared" ref="V18:V41" si="15">S18+(G18*0.75)</f>
        <v>11400</v>
      </c>
      <c r="W18" s="77">
        <f t="shared" ref="W18:W41" si="16">G18*5</f>
        <v>12000</v>
      </c>
      <c r="X18" s="76">
        <f t="shared" ref="X18:X41" si="17">W18+(G18*0.25)</f>
        <v>12600</v>
      </c>
      <c r="Y18" s="76">
        <f t="shared" ref="Y18:Y41" si="18">W18+(G18*0.5)</f>
        <v>13200</v>
      </c>
      <c r="Z18" s="76">
        <f t="shared" ref="Z18:Z41" si="19">W18+(G18*0.75)</f>
        <v>13800</v>
      </c>
      <c r="AA18" s="78">
        <f t="shared" ref="AA18:AA41" si="20">G18*6</f>
        <v>14400</v>
      </c>
      <c r="AB18" s="79"/>
      <c r="AC18" s="79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</row>
    <row r="19" ht="21.75" customHeight="1">
      <c r="A19" s="81"/>
      <c r="B19" s="23"/>
      <c r="C19" s="82" t="s">
        <v>45</v>
      </c>
      <c r="D19" s="83">
        <f>G19*D15</f>
        <v>886.5</v>
      </c>
      <c r="E19" s="83">
        <f>G19*E15</f>
        <v>1280.5</v>
      </c>
      <c r="F19" s="83">
        <f>G19*F15</f>
        <v>1674.5</v>
      </c>
      <c r="G19" s="84">
        <f>N7+Y8</f>
        <v>1970</v>
      </c>
      <c r="H19" s="83">
        <f t="shared" si="1"/>
        <v>2462.5</v>
      </c>
      <c r="I19" s="83">
        <f t="shared" si="2"/>
        <v>2955</v>
      </c>
      <c r="J19" s="83">
        <f t="shared" si="3"/>
        <v>3447.5</v>
      </c>
      <c r="K19" s="84">
        <f t="shared" si="4"/>
        <v>3940</v>
      </c>
      <c r="L19" s="83">
        <f t="shared" si="5"/>
        <v>4432.5</v>
      </c>
      <c r="M19" s="83">
        <f t="shared" si="6"/>
        <v>4925</v>
      </c>
      <c r="N19" s="83">
        <f t="shared" si="7"/>
        <v>5417.5</v>
      </c>
      <c r="O19" s="84">
        <f t="shared" si="8"/>
        <v>5910</v>
      </c>
      <c r="P19" s="83">
        <f t="shared" si="9"/>
        <v>6402.5</v>
      </c>
      <c r="Q19" s="83">
        <f t="shared" si="10"/>
        <v>6895</v>
      </c>
      <c r="R19" s="83">
        <f t="shared" si="11"/>
        <v>7387.5</v>
      </c>
      <c r="S19" s="84">
        <f t="shared" si="12"/>
        <v>7880</v>
      </c>
      <c r="T19" s="83">
        <f t="shared" si="13"/>
        <v>8372.5</v>
      </c>
      <c r="U19" s="83">
        <f t="shared" si="14"/>
        <v>8865</v>
      </c>
      <c r="V19" s="83">
        <f t="shared" si="15"/>
        <v>9357.5</v>
      </c>
      <c r="W19" s="84">
        <f t="shared" si="16"/>
        <v>9850</v>
      </c>
      <c r="X19" s="83">
        <f t="shared" si="17"/>
        <v>10342.5</v>
      </c>
      <c r="Y19" s="83">
        <f t="shared" si="18"/>
        <v>10835</v>
      </c>
      <c r="Z19" s="83">
        <f t="shared" si="19"/>
        <v>11327.5</v>
      </c>
      <c r="AA19" s="84">
        <f t="shared" si="20"/>
        <v>11820</v>
      </c>
      <c r="AB19" s="79"/>
      <c r="AC19" s="79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</row>
    <row r="20" ht="21.75" customHeight="1">
      <c r="A20" s="81"/>
      <c r="B20" s="23"/>
      <c r="C20" s="85" t="s">
        <v>6</v>
      </c>
      <c r="D20" s="86">
        <f>G20*D15</f>
        <v>814.5</v>
      </c>
      <c r="E20" s="86">
        <f>G20*E15</f>
        <v>1176.5</v>
      </c>
      <c r="F20" s="86">
        <f>G20*F15</f>
        <v>1538.5</v>
      </c>
      <c r="G20" s="87">
        <f>N7+Y9</f>
        <v>1810</v>
      </c>
      <c r="H20" s="86">
        <f t="shared" si="1"/>
        <v>2262.5</v>
      </c>
      <c r="I20" s="86">
        <f t="shared" si="2"/>
        <v>2715</v>
      </c>
      <c r="J20" s="86">
        <f t="shared" si="3"/>
        <v>3167.5</v>
      </c>
      <c r="K20" s="111">
        <f>G20*2</f>
        <v>3620</v>
      </c>
      <c r="L20" s="112">
        <f t="shared" si="5"/>
        <v>4072.5</v>
      </c>
      <c r="M20" s="112">
        <f t="shared" si="6"/>
        <v>4525</v>
      </c>
      <c r="N20" s="112">
        <f t="shared" si="7"/>
        <v>4977.5</v>
      </c>
      <c r="O20" s="111">
        <f>G20*3</f>
        <v>5430</v>
      </c>
      <c r="P20" s="86">
        <f t="shared" si="9"/>
        <v>5882.5</v>
      </c>
      <c r="Q20" s="86">
        <f t="shared" si="10"/>
        <v>6335</v>
      </c>
      <c r="R20" s="86">
        <f t="shared" si="11"/>
        <v>6787.5</v>
      </c>
      <c r="S20" s="87">
        <f t="shared" si="12"/>
        <v>7240</v>
      </c>
      <c r="T20" s="86">
        <f t="shared" si="13"/>
        <v>7692.5</v>
      </c>
      <c r="U20" s="86">
        <f t="shared" si="14"/>
        <v>8145</v>
      </c>
      <c r="V20" s="86">
        <f t="shared" si="15"/>
        <v>8597.5</v>
      </c>
      <c r="W20" s="87">
        <f t="shared" si="16"/>
        <v>9050</v>
      </c>
      <c r="X20" s="86">
        <f t="shared" si="17"/>
        <v>9502.5</v>
      </c>
      <c r="Y20" s="86">
        <f t="shared" si="18"/>
        <v>9955</v>
      </c>
      <c r="Z20" s="86">
        <f t="shared" si="19"/>
        <v>10407.5</v>
      </c>
      <c r="AA20" s="88">
        <f t="shared" si="20"/>
        <v>10860</v>
      </c>
      <c r="AB20" s="79"/>
      <c r="AC20" s="79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</row>
    <row r="21" ht="21.75" customHeight="1">
      <c r="A21" s="81"/>
      <c r="B21" s="23"/>
      <c r="C21" s="74" t="s">
        <v>8</v>
      </c>
      <c r="D21" s="76">
        <f>G21*D15</f>
        <v>1210.5</v>
      </c>
      <c r="E21" s="76">
        <f>G21*E15</f>
        <v>1748.5</v>
      </c>
      <c r="F21" s="76">
        <f>G21*F15</f>
        <v>2286.5</v>
      </c>
      <c r="G21" s="77">
        <f>N7+Y10</f>
        <v>2690</v>
      </c>
      <c r="H21" s="76">
        <f t="shared" si="1"/>
        <v>3362.5</v>
      </c>
      <c r="I21" s="76">
        <f t="shared" si="2"/>
        <v>4035</v>
      </c>
      <c r="J21" s="76">
        <f t="shared" si="3"/>
        <v>4707.5</v>
      </c>
      <c r="K21" s="77">
        <f t="shared" ref="K21:K41" si="21">G21*2</f>
        <v>5380</v>
      </c>
      <c r="L21" s="76">
        <f t="shared" si="5"/>
        <v>6052.5</v>
      </c>
      <c r="M21" s="76">
        <f t="shared" si="6"/>
        <v>6725</v>
      </c>
      <c r="N21" s="76">
        <f t="shared" si="7"/>
        <v>7397.5</v>
      </c>
      <c r="O21" s="77">
        <f t="shared" ref="O21:O41" si="22">G21*3</f>
        <v>8070</v>
      </c>
      <c r="P21" s="76">
        <f t="shared" si="9"/>
        <v>8742.5</v>
      </c>
      <c r="Q21" s="76">
        <f t="shared" si="10"/>
        <v>9415</v>
      </c>
      <c r="R21" s="76">
        <f t="shared" si="11"/>
        <v>10087.5</v>
      </c>
      <c r="S21" s="77">
        <f t="shared" si="12"/>
        <v>10760</v>
      </c>
      <c r="T21" s="76">
        <f t="shared" si="13"/>
        <v>11432.5</v>
      </c>
      <c r="U21" s="76">
        <f t="shared" si="14"/>
        <v>12105</v>
      </c>
      <c r="V21" s="76">
        <f t="shared" si="15"/>
        <v>12777.5</v>
      </c>
      <c r="W21" s="77">
        <f t="shared" si="16"/>
        <v>13450</v>
      </c>
      <c r="X21" s="76">
        <f t="shared" si="17"/>
        <v>14122.5</v>
      </c>
      <c r="Y21" s="76">
        <f t="shared" si="18"/>
        <v>14795</v>
      </c>
      <c r="Z21" s="76">
        <f t="shared" si="19"/>
        <v>15467.5</v>
      </c>
      <c r="AA21" s="78">
        <f t="shared" si="20"/>
        <v>16140</v>
      </c>
      <c r="AB21" s="79"/>
      <c r="AC21" s="79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</row>
    <row r="22" ht="21.75" customHeight="1">
      <c r="A22" s="81"/>
      <c r="B22" s="23"/>
      <c r="C22" s="82" t="s">
        <v>46</v>
      </c>
      <c r="D22" s="83">
        <f>G22*D15</f>
        <v>945</v>
      </c>
      <c r="E22" s="83">
        <f>G22*E15</f>
        <v>1365</v>
      </c>
      <c r="F22" s="83">
        <f>G22*F15</f>
        <v>1785</v>
      </c>
      <c r="G22" s="84">
        <f>N7+Y11</f>
        <v>2100</v>
      </c>
      <c r="H22" s="83">
        <f t="shared" si="1"/>
        <v>2625</v>
      </c>
      <c r="I22" s="83">
        <f t="shared" si="2"/>
        <v>3150</v>
      </c>
      <c r="J22" s="83">
        <f t="shared" si="3"/>
        <v>3675</v>
      </c>
      <c r="K22" s="84">
        <f t="shared" si="21"/>
        <v>4200</v>
      </c>
      <c r="L22" s="83">
        <f t="shared" si="5"/>
        <v>4725</v>
      </c>
      <c r="M22" s="83">
        <f t="shared" si="6"/>
        <v>5250</v>
      </c>
      <c r="N22" s="83">
        <f t="shared" si="7"/>
        <v>5775</v>
      </c>
      <c r="O22" s="84">
        <f t="shared" si="22"/>
        <v>6300</v>
      </c>
      <c r="P22" s="83">
        <f t="shared" si="9"/>
        <v>6825</v>
      </c>
      <c r="Q22" s="83">
        <f t="shared" si="10"/>
        <v>7350</v>
      </c>
      <c r="R22" s="83">
        <f t="shared" si="11"/>
        <v>7875</v>
      </c>
      <c r="S22" s="84">
        <f t="shared" si="12"/>
        <v>8400</v>
      </c>
      <c r="T22" s="83">
        <f t="shared" si="13"/>
        <v>8925</v>
      </c>
      <c r="U22" s="83">
        <f t="shared" si="14"/>
        <v>9450</v>
      </c>
      <c r="V22" s="83">
        <f t="shared" si="15"/>
        <v>9975</v>
      </c>
      <c r="W22" s="84">
        <f t="shared" si="16"/>
        <v>10500</v>
      </c>
      <c r="X22" s="83">
        <f t="shared" si="17"/>
        <v>11025</v>
      </c>
      <c r="Y22" s="83">
        <f t="shared" si="18"/>
        <v>11550</v>
      </c>
      <c r="Z22" s="83">
        <f t="shared" si="19"/>
        <v>12075</v>
      </c>
      <c r="AA22" s="90">
        <f t="shared" si="20"/>
        <v>12600</v>
      </c>
      <c r="AB22" s="79"/>
      <c r="AC22" s="79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</row>
    <row r="23" ht="21.75" customHeight="1">
      <c r="A23" s="81"/>
      <c r="B23" s="50"/>
      <c r="C23" s="85" t="s">
        <v>11</v>
      </c>
      <c r="D23" s="86">
        <f>G23*D15</f>
        <v>850.5</v>
      </c>
      <c r="E23" s="86">
        <f>G23*E15</f>
        <v>1228.5</v>
      </c>
      <c r="F23" s="86">
        <f>G23*F15</f>
        <v>1606.5</v>
      </c>
      <c r="G23" s="87">
        <f>N7+Y12</f>
        <v>1890</v>
      </c>
      <c r="H23" s="86">
        <f t="shared" si="1"/>
        <v>2362.5</v>
      </c>
      <c r="I23" s="86">
        <f t="shared" si="2"/>
        <v>2835</v>
      </c>
      <c r="J23" s="86">
        <f t="shared" si="3"/>
        <v>3307.5</v>
      </c>
      <c r="K23" s="87">
        <f t="shared" si="21"/>
        <v>3780</v>
      </c>
      <c r="L23" s="86">
        <f t="shared" si="5"/>
        <v>4252.5</v>
      </c>
      <c r="M23" s="86">
        <f t="shared" si="6"/>
        <v>4725</v>
      </c>
      <c r="N23" s="86">
        <f t="shared" si="7"/>
        <v>5197.5</v>
      </c>
      <c r="O23" s="87">
        <f t="shared" si="22"/>
        <v>5670</v>
      </c>
      <c r="P23" s="86">
        <f t="shared" si="9"/>
        <v>6142.5</v>
      </c>
      <c r="Q23" s="86">
        <f t="shared" si="10"/>
        <v>6615</v>
      </c>
      <c r="R23" s="86">
        <f t="shared" si="11"/>
        <v>7087.5</v>
      </c>
      <c r="S23" s="87">
        <f t="shared" si="12"/>
        <v>7560</v>
      </c>
      <c r="T23" s="86">
        <f t="shared" si="13"/>
        <v>8032.5</v>
      </c>
      <c r="U23" s="86">
        <f t="shared" si="14"/>
        <v>8505</v>
      </c>
      <c r="V23" s="86">
        <f t="shared" si="15"/>
        <v>8977.5</v>
      </c>
      <c r="W23" s="87">
        <f t="shared" si="16"/>
        <v>9450</v>
      </c>
      <c r="X23" s="86">
        <f t="shared" si="17"/>
        <v>9922.5</v>
      </c>
      <c r="Y23" s="86">
        <f t="shared" si="18"/>
        <v>10395</v>
      </c>
      <c r="Z23" s="86">
        <f t="shared" si="19"/>
        <v>10867.5</v>
      </c>
      <c r="AA23" s="88">
        <f t="shared" si="20"/>
        <v>11340</v>
      </c>
      <c r="AB23" s="79"/>
      <c r="AC23" s="79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</row>
    <row r="24" ht="21.75" customHeight="1">
      <c r="A24" s="81"/>
      <c r="B24" s="110" t="s">
        <v>55</v>
      </c>
      <c r="C24" s="74" t="s">
        <v>4</v>
      </c>
      <c r="D24" s="76">
        <f>G24*D15</f>
        <v>1021.5</v>
      </c>
      <c r="E24" s="76">
        <f>G24*E15</f>
        <v>1475.5</v>
      </c>
      <c r="F24" s="76">
        <f>G24*F15</f>
        <v>1929.5</v>
      </c>
      <c r="G24" s="77">
        <f>N9+Y7</f>
        <v>2270</v>
      </c>
      <c r="H24" s="76">
        <f t="shared" si="1"/>
        <v>2837.5</v>
      </c>
      <c r="I24" s="76">
        <f t="shared" si="2"/>
        <v>3405</v>
      </c>
      <c r="J24" s="76">
        <f t="shared" si="3"/>
        <v>3972.5</v>
      </c>
      <c r="K24" s="77">
        <f t="shared" si="21"/>
        <v>4540</v>
      </c>
      <c r="L24" s="76">
        <f t="shared" si="5"/>
        <v>5107.5</v>
      </c>
      <c r="M24" s="76">
        <f t="shared" si="6"/>
        <v>5675</v>
      </c>
      <c r="N24" s="76">
        <f t="shared" si="7"/>
        <v>6242.5</v>
      </c>
      <c r="O24" s="77">
        <f t="shared" si="22"/>
        <v>6810</v>
      </c>
      <c r="P24" s="76">
        <f t="shared" si="9"/>
        <v>7377.5</v>
      </c>
      <c r="Q24" s="76">
        <f t="shared" si="10"/>
        <v>7945</v>
      </c>
      <c r="R24" s="76">
        <f t="shared" si="11"/>
        <v>8512.5</v>
      </c>
      <c r="S24" s="77">
        <f t="shared" si="12"/>
        <v>9080</v>
      </c>
      <c r="T24" s="76">
        <f t="shared" si="13"/>
        <v>9647.5</v>
      </c>
      <c r="U24" s="76">
        <f t="shared" si="14"/>
        <v>10215</v>
      </c>
      <c r="V24" s="76">
        <f t="shared" si="15"/>
        <v>10782.5</v>
      </c>
      <c r="W24" s="77">
        <f t="shared" si="16"/>
        <v>11350</v>
      </c>
      <c r="X24" s="76">
        <f t="shared" si="17"/>
        <v>11917.5</v>
      </c>
      <c r="Y24" s="76">
        <f t="shared" si="18"/>
        <v>12485</v>
      </c>
      <c r="Z24" s="76">
        <f t="shared" si="19"/>
        <v>13052.5</v>
      </c>
      <c r="AA24" s="78">
        <f t="shared" si="20"/>
        <v>13620</v>
      </c>
      <c r="AB24" s="79"/>
      <c r="AC24" s="79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</row>
    <row r="25" ht="21.75" customHeight="1">
      <c r="A25" s="81"/>
      <c r="B25" s="23"/>
      <c r="C25" s="82" t="s">
        <v>45</v>
      </c>
      <c r="D25" s="83">
        <f>G25*D15</f>
        <v>828</v>
      </c>
      <c r="E25" s="83">
        <f>G25*E15</f>
        <v>1196</v>
      </c>
      <c r="F25" s="83">
        <f>G25*F15</f>
        <v>1564</v>
      </c>
      <c r="G25" s="84">
        <f>N9+Y8</f>
        <v>1840</v>
      </c>
      <c r="H25" s="83">
        <f t="shared" si="1"/>
        <v>2300</v>
      </c>
      <c r="I25" s="83">
        <f t="shared" si="2"/>
        <v>2760</v>
      </c>
      <c r="J25" s="83">
        <f t="shared" si="3"/>
        <v>3220</v>
      </c>
      <c r="K25" s="84">
        <f t="shared" si="21"/>
        <v>3680</v>
      </c>
      <c r="L25" s="83">
        <f t="shared" si="5"/>
        <v>4140</v>
      </c>
      <c r="M25" s="83">
        <f t="shared" si="6"/>
        <v>4600</v>
      </c>
      <c r="N25" s="83">
        <f t="shared" si="7"/>
        <v>5060</v>
      </c>
      <c r="O25" s="84">
        <f t="shared" si="22"/>
        <v>5520</v>
      </c>
      <c r="P25" s="83">
        <f t="shared" si="9"/>
        <v>5980</v>
      </c>
      <c r="Q25" s="83">
        <f t="shared" si="10"/>
        <v>6440</v>
      </c>
      <c r="R25" s="83">
        <f t="shared" si="11"/>
        <v>6900</v>
      </c>
      <c r="S25" s="84">
        <f t="shared" si="12"/>
        <v>7360</v>
      </c>
      <c r="T25" s="83">
        <f t="shared" si="13"/>
        <v>7820</v>
      </c>
      <c r="U25" s="83">
        <f t="shared" si="14"/>
        <v>8280</v>
      </c>
      <c r="V25" s="83">
        <f t="shared" si="15"/>
        <v>8740</v>
      </c>
      <c r="W25" s="84">
        <f t="shared" si="16"/>
        <v>9200</v>
      </c>
      <c r="X25" s="83">
        <f t="shared" si="17"/>
        <v>9660</v>
      </c>
      <c r="Y25" s="83">
        <f t="shared" si="18"/>
        <v>10120</v>
      </c>
      <c r="Z25" s="83">
        <f t="shared" si="19"/>
        <v>10580</v>
      </c>
      <c r="AA25" s="84">
        <f t="shared" si="20"/>
        <v>11040</v>
      </c>
      <c r="AB25" s="79"/>
      <c r="AC25" s="79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</row>
    <row r="26" ht="21.75" customHeight="1">
      <c r="A26" s="81"/>
      <c r="B26" s="23"/>
      <c r="C26" s="85" t="s">
        <v>6</v>
      </c>
      <c r="D26" s="86">
        <f>G26*D15</f>
        <v>756</v>
      </c>
      <c r="E26" s="86">
        <f>G26*E15</f>
        <v>1092</v>
      </c>
      <c r="F26" s="86">
        <f>G26*F15</f>
        <v>1428</v>
      </c>
      <c r="G26" s="87">
        <f>N9+Y9</f>
        <v>1680</v>
      </c>
      <c r="H26" s="86">
        <f t="shared" si="1"/>
        <v>2100</v>
      </c>
      <c r="I26" s="86">
        <f t="shared" si="2"/>
        <v>2520</v>
      </c>
      <c r="J26" s="86">
        <f t="shared" si="3"/>
        <v>2940</v>
      </c>
      <c r="K26" s="87">
        <f t="shared" si="21"/>
        <v>3360</v>
      </c>
      <c r="L26" s="86">
        <f t="shared" si="5"/>
        <v>3780</v>
      </c>
      <c r="M26" s="86">
        <f t="shared" si="6"/>
        <v>4200</v>
      </c>
      <c r="N26" s="86">
        <f t="shared" si="7"/>
        <v>4620</v>
      </c>
      <c r="O26" s="87">
        <f t="shared" si="22"/>
        <v>5040</v>
      </c>
      <c r="P26" s="86">
        <f t="shared" si="9"/>
        <v>5460</v>
      </c>
      <c r="Q26" s="86">
        <f t="shared" si="10"/>
        <v>5880</v>
      </c>
      <c r="R26" s="86">
        <f t="shared" si="11"/>
        <v>6300</v>
      </c>
      <c r="S26" s="87">
        <f t="shared" si="12"/>
        <v>6720</v>
      </c>
      <c r="T26" s="86">
        <f t="shared" si="13"/>
        <v>7140</v>
      </c>
      <c r="U26" s="86">
        <f t="shared" si="14"/>
        <v>7560</v>
      </c>
      <c r="V26" s="86">
        <f t="shared" si="15"/>
        <v>7980</v>
      </c>
      <c r="W26" s="87">
        <f t="shared" si="16"/>
        <v>8400</v>
      </c>
      <c r="X26" s="86">
        <f t="shared" si="17"/>
        <v>8820</v>
      </c>
      <c r="Y26" s="86">
        <f t="shared" si="18"/>
        <v>9240</v>
      </c>
      <c r="Z26" s="86">
        <f t="shared" si="19"/>
        <v>9660</v>
      </c>
      <c r="AA26" s="87">
        <f t="shared" si="20"/>
        <v>10080</v>
      </c>
      <c r="AB26" s="79"/>
      <c r="AC26" s="79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</row>
    <row r="27" ht="21.75" customHeight="1">
      <c r="A27" s="81"/>
      <c r="B27" s="23"/>
      <c r="C27" s="74" t="s">
        <v>8</v>
      </c>
      <c r="D27" s="76">
        <f>G27*D15</f>
        <v>1152</v>
      </c>
      <c r="E27" s="76">
        <f>G27*E15</f>
        <v>1664</v>
      </c>
      <c r="F27" s="76">
        <f>G27*F15</f>
        <v>2176</v>
      </c>
      <c r="G27" s="77">
        <f>N9+Y10</f>
        <v>2560</v>
      </c>
      <c r="H27" s="76">
        <f t="shared" si="1"/>
        <v>3200</v>
      </c>
      <c r="I27" s="76">
        <f t="shared" si="2"/>
        <v>3840</v>
      </c>
      <c r="J27" s="76">
        <f t="shared" si="3"/>
        <v>4480</v>
      </c>
      <c r="K27" s="77">
        <f t="shared" si="21"/>
        <v>5120</v>
      </c>
      <c r="L27" s="76">
        <f t="shared" si="5"/>
        <v>5760</v>
      </c>
      <c r="M27" s="76">
        <f t="shared" si="6"/>
        <v>6400</v>
      </c>
      <c r="N27" s="76">
        <f t="shared" si="7"/>
        <v>7040</v>
      </c>
      <c r="O27" s="77">
        <f t="shared" si="22"/>
        <v>7680</v>
      </c>
      <c r="P27" s="76">
        <f t="shared" si="9"/>
        <v>8320</v>
      </c>
      <c r="Q27" s="76">
        <f t="shared" si="10"/>
        <v>8960</v>
      </c>
      <c r="R27" s="76">
        <f t="shared" si="11"/>
        <v>9600</v>
      </c>
      <c r="S27" s="77">
        <f t="shared" si="12"/>
        <v>10240</v>
      </c>
      <c r="T27" s="76">
        <f t="shared" si="13"/>
        <v>10880</v>
      </c>
      <c r="U27" s="76">
        <f t="shared" si="14"/>
        <v>11520</v>
      </c>
      <c r="V27" s="76">
        <f t="shared" si="15"/>
        <v>12160</v>
      </c>
      <c r="W27" s="77">
        <f t="shared" si="16"/>
        <v>12800</v>
      </c>
      <c r="X27" s="76">
        <f t="shared" si="17"/>
        <v>13440</v>
      </c>
      <c r="Y27" s="76">
        <f t="shared" si="18"/>
        <v>14080</v>
      </c>
      <c r="Z27" s="76">
        <f t="shared" si="19"/>
        <v>14720</v>
      </c>
      <c r="AA27" s="78">
        <f t="shared" si="20"/>
        <v>15360</v>
      </c>
      <c r="AB27" s="79"/>
      <c r="AC27" s="79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</row>
    <row r="28" ht="21.75" customHeight="1">
      <c r="A28" s="81"/>
      <c r="B28" s="23"/>
      <c r="C28" s="82" t="s">
        <v>46</v>
      </c>
      <c r="D28" s="83">
        <f>G28*D15</f>
        <v>886.5</v>
      </c>
      <c r="E28" s="83">
        <f>G28*E15</f>
        <v>1280.5</v>
      </c>
      <c r="F28" s="83">
        <f>G28*F15</f>
        <v>1674.5</v>
      </c>
      <c r="G28" s="84">
        <f>N9+Y11</f>
        <v>1970</v>
      </c>
      <c r="H28" s="83">
        <f t="shared" si="1"/>
        <v>2462.5</v>
      </c>
      <c r="I28" s="83">
        <f t="shared" si="2"/>
        <v>2955</v>
      </c>
      <c r="J28" s="83">
        <f t="shared" si="3"/>
        <v>3447.5</v>
      </c>
      <c r="K28" s="84">
        <f t="shared" si="21"/>
        <v>3940</v>
      </c>
      <c r="L28" s="83">
        <f t="shared" si="5"/>
        <v>4432.5</v>
      </c>
      <c r="M28" s="83">
        <f t="shared" si="6"/>
        <v>4925</v>
      </c>
      <c r="N28" s="83">
        <f t="shared" si="7"/>
        <v>5417.5</v>
      </c>
      <c r="O28" s="84">
        <f t="shared" si="22"/>
        <v>5910</v>
      </c>
      <c r="P28" s="83">
        <f t="shared" si="9"/>
        <v>6402.5</v>
      </c>
      <c r="Q28" s="83">
        <f t="shared" si="10"/>
        <v>6895</v>
      </c>
      <c r="R28" s="83">
        <f t="shared" si="11"/>
        <v>7387.5</v>
      </c>
      <c r="S28" s="84">
        <f t="shared" si="12"/>
        <v>7880</v>
      </c>
      <c r="T28" s="83">
        <f t="shared" si="13"/>
        <v>8372.5</v>
      </c>
      <c r="U28" s="83">
        <f t="shared" si="14"/>
        <v>8865</v>
      </c>
      <c r="V28" s="83">
        <f t="shared" si="15"/>
        <v>9357.5</v>
      </c>
      <c r="W28" s="84">
        <f t="shared" si="16"/>
        <v>9850</v>
      </c>
      <c r="X28" s="83">
        <f t="shared" si="17"/>
        <v>10342.5</v>
      </c>
      <c r="Y28" s="83">
        <f t="shared" si="18"/>
        <v>10835</v>
      </c>
      <c r="Z28" s="83">
        <f t="shared" si="19"/>
        <v>11327.5</v>
      </c>
      <c r="AA28" s="84">
        <f t="shared" si="20"/>
        <v>11820</v>
      </c>
      <c r="AB28" s="79"/>
      <c r="AC28" s="79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</row>
    <row r="29" ht="21.75" customHeight="1">
      <c r="A29" s="81"/>
      <c r="B29" s="50"/>
      <c r="C29" s="85" t="s">
        <v>11</v>
      </c>
      <c r="D29" s="86">
        <f>G29*D15</f>
        <v>792</v>
      </c>
      <c r="E29" s="86">
        <f>G29*E15</f>
        <v>1144</v>
      </c>
      <c r="F29" s="86">
        <f>G29*F15</f>
        <v>1496</v>
      </c>
      <c r="G29" s="87">
        <f>N9+Y12</f>
        <v>1760</v>
      </c>
      <c r="H29" s="86">
        <f t="shared" si="1"/>
        <v>2200</v>
      </c>
      <c r="I29" s="86">
        <f t="shared" si="2"/>
        <v>2640</v>
      </c>
      <c r="J29" s="86">
        <f t="shared" si="3"/>
        <v>3080</v>
      </c>
      <c r="K29" s="87">
        <f t="shared" si="21"/>
        <v>3520</v>
      </c>
      <c r="L29" s="86">
        <f t="shared" si="5"/>
        <v>3960</v>
      </c>
      <c r="M29" s="86">
        <f t="shared" si="6"/>
        <v>4400</v>
      </c>
      <c r="N29" s="86">
        <f t="shared" si="7"/>
        <v>4840</v>
      </c>
      <c r="O29" s="87">
        <f t="shared" si="22"/>
        <v>5280</v>
      </c>
      <c r="P29" s="86">
        <f t="shared" si="9"/>
        <v>5720</v>
      </c>
      <c r="Q29" s="86">
        <f t="shared" si="10"/>
        <v>6160</v>
      </c>
      <c r="R29" s="86">
        <f t="shared" si="11"/>
        <v>6600</v>
      </c>
      <c r="S29" s="87">
        <f t="shared" si="12"/>
        <v>7040</v>
      </c>
      <c r="T29" s="86">
        <f t="shared" si="13"/>
        <v>7480</v>
      </c>
      <c r="U29" s="86">
        <f t="shared" si="14"/>
        <v>7920</v>
      </c>
      <c r="V29" s="86">
        <f t="shared" si="15"/>
        <v>8360</v>
      </c>
      <c r="W29" s="87">
        <f t="shared" si="16"/>
        <v>8800</v>
      </c>
      <c r="X29" s="86">
        <f t="shared" si="17"/>
        <v>9240</v>
      </c>
      <c r="Y29" s="86">
        <f t="shared" si="18"/>
        <v>9680</v>
      </c>
      <c r="Z29" s="86">
        <f t="shared" si="19"/>
        <v>10120</v>
      </c>
      <c r="AA29" s="87">
        <f t="shared" si="20"/>
        <v>10560</v>
      </c>
      <c r="AB29" s="79"/>
      <c r="AC29" s="79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</row>
    <row r="30" ht="21.75" customHeight="1">
      <c r="A30" s="81"/>
      <c r="B30" s="110" t="s">
        <v>56</v>
      </c>
      <c r="C30" s="74" t="s">
        <v>4</v>
      </c>
      <c r="D30" s="76">
        <f>G30*D15</f>
        <v>1125</v>
      </c>
      <c r="E30" s="76">
        <f>G30*E15</f>
        <v>1625</v>
      </c>
      <c r="F30" s="76">
        <f>G30*F15</f>
        <v>2125</v>
      </c>
      <c r="G30" s="77">
        <f>N11+Y7</f>
        <v>2500</v>
      </c>
      <c r="H30" s="76">
        <f t="shared" si="1"/>
        <v>3125</v>
      </c>
      <c r="I30" s="76">
        <f t="shared" si="2"/>
        <v>3750</v>
      </c>
      <c r="J30" s="76">
        <f t="shared" si="3"/>
        <v>4375</v>
      </c>
      <c r="K30" s="77">
        <f t="shared" si="21"/>
        <v>5000</v>
      </c>
      <c r="L30" s="76">
        <f t="shared" si="5"/>
        <v>5625</v>
      </c>
      <c r="M30" s="76">
        <f t="shared" si="6"/>
        <v>6250</v>
      </c>
      <c r="N30" s="76">
        <f t="shared" si="7"/>
        <v>6875</v>
      </c>
      <c r="O30" s="77">
        <f t="shared" si="22"/>
        <v>7500</v>
      </c>
      <c r="P30" s="76">
        <f t="shared" si="9"/>
        <v>8125</v>
      </c>
      <c r="Q30" s="76">
        <f t="shared" si="10"/>
        <v>8750</v>
      </c>
      <c r="R30" s="76">
        <f t="shared" si="11"/>
        <v>9375</v>
      </c>
      <c r="S30" s="77">
        <f t="shared" si="12"/>
        <v>10000</v>
      </c>
      <c r="T30" s="76">
        <f t="shared" si="13"/>
        <v>10625</v>
      </c>
      <c r="U30" s="76">
        <f t="shared" si="14"/>
        <v>11250</v>
      </c>
      <c r="V30" s="76">
        <f t="shared" si="15"/>
        <v>11875</v>
      </c>
      <c r="W30" s="77">
        <f t="shared" si="16"/>
        <v>12500</v>
      </c>
      <c r="X30" s="76">
        <f t="shared" si="17"/>
        <v>13125</v>
      </c>
      <c r="Y30" s="76">
        <f t="shared" si="18"/>
        <v>13750</v>
      </c>
      <c r="Z30" s="76">
        <f t="shared" si="19"/>
        <v>14375</v>
      </c>
      <c r="AA30" s="78">
        <f t="shared" si="20"/>
        <v>15000</v>
      </c>
      <c r="AB30" s="79"/>
      <c r="AC30" s="79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</row>
    <row r="31" ht="21.75" customHeight="1">
      <c r="A31" s="81"/>
      <c r="B31" s="23"/>
      <c r="C31" s="82" t="s">
        <v>45</v>
      </c>
      <c r="D31" s="83">
        <f>G31*D15</f>
        <v>931.5</v>
      </c>
      <c r="E31" s="83">
        <f>G31*E15</f>
        <v>1345.5</v>
      </c>
      <c r="F31" s="83">
        <f>G31*F15</f>
        <v>1759.5</v>
      </c>
      <c r="G31" s="84">
        <f>N11+Y8</f>
        <v>2070</v>
      </c>
      <c r="H31" s="83">
        <f t="shared" si="1"/>
        <v>2587.5</v>
      </c>
      <c r="I31" s="83">
        <f t="shared" si="2"/>
        <v>3105</v>
      </c>
      <c r="J31" s="83">
        <f t="shared" si="3"/>
        <v>3622.5</v>
      </c>
      <c r="K31" s="84">
        <f t="shared" si="21"/>
        <v>4140</v>
      </c>
      <c r="L31" s="83">
        <f t="shared" si="5"/>
        <v>4657.5</v>
      </c>
      <c r="M31" s="83">
        <f t="shared" si="6"/>
        <v>5175</v>
      </c>
      <c r="N31" s="83">
        <f t="shared" si="7"/>
        <v>5692.5</v>
      </c>
      <c r="O31" s="84">
        <f t="shared" si="22"/>
        <v>6210</v>
      </c>
      <c r="P31" s="83">
        <f t="shared" si="9"/>
        <v>6727.5</v>
      </c>
      <c r="Q31" s="83">
        <f t="shared" si="10"/>
        <v>7245</v>
      </c>
      <c r="R31" s="83">
        <f t="shared" si="11"/>
        <v>7762.5</v>
      </c>
      <c r="S31" s="84">
        <f t="shared" si="12"/>
        <v>8280</v>
      </c>
      <c r="T31" s="83">
        <f t="shared" si="13"/>
        <v>8797.5</v>
      </c>
      <c r="U31" s="83">
        <f t="shared" si="14"/>
        <v>9315</v>
      </c>
      <c r="V31" s="83">
        <f t="shared" si="15"/>
        <v>9832.5</v>
      </c>
      <c r="W31" s="84">
        <f t="shared" si="16"/>
        <v>10350</v>
      </c>
      <c r="X31" s="83">
        <f t="shared" si="17"/>
        <v>10867.5</v>
      </c>
      <c r="Y31" s="83">
        <f t="shared" si="18"/>
        <v>11385</v>
      </c>
      <c r="Z31" s="83">
        <f t="shared" si="19"/>
        <v>11902.5</v>
      </c>
      <c r="AA31" s="84">
        <f t="shared" si="20"/>
        <v>12420</v>
      </c>
      <c r="AB31" s="79"/>
      <c r="AC31" s="79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</row>
    <row r="32" ht="21.75" customHeight="1">
      <c r="A32" s="81"/>
      <c r="B32" s="23"/>
      <c r="C32" s="85" t="s">
        <v>6</v>
      </c>
      <c r="D32" s="86">
        <f>G32*D15</f>
        <v>859.5</v>
      </c>
      <c r="E32" s="86">
        <f>G32*E15</f>
        <v>1241.5</v>
      </c>
      <c r="F32" s="86">
        <f>G32*F15</f>
        <v>1623.5</v>
      </c>
      <c r="G32" s="87">
        <f>N11+Y9</f>
        <v>1910</v>
      </c>
      <c r="H32" s="86">
        <f t="shared" si="1"/>
        <v>2387.5</v>
      </c>
      <c r="I32" s="86">
        <f t="shared" si="2"/>
        <v>2865</v>
      </c>
      <c r="J32" s="86">
        <f t="shared" si="3"/>
        <v>3342.5</v>
      </c>
      <c r="K32" s="87">
        <f t="shared" si="21"/>
        <v>3820</v>
      </c>
      <c r="L32" s="86">
        <f t="shared" si="5"/>
        <v>4297.5</v>
      </c>
      <c r="M32" s="86">
        <f t="shared" si="6"/>
        <v>4775</v>
      </c>
      <c r="N32" s="86">
        <f t="shared" si="7"/>
        <v>5252.5</v>
      </c>
      <c r="O32" s="87">
        <f t="shared" si="22"/>
        <v>5730</v>
      </c>
      <c r="P32" s="86">
        <f t="shared" si="9"/>
        <v>6207.5</v>
      </c>
      <c r="Q32" s="86">
        <f t="shared" si="10"/>
        <v>6685</v>
      </c>
      <c r="R32" s="86">
        <f t="shared" si="11"/>
        <v>7162.5</v>
      </c>
      <c r="S32" s="87">
        <f t="shared" si="12"/>
        <v>7640</v>
      </c>
      <c r="T32" s="86">
        <f t="shared" si="13"/>
        <v>8117.5</v>
      </c>
      <c r="U32" s="86">
        <f t="shared" si="14"/>
        <v>8595</v>
      </c>
      <c r="V32" s="86">
        <f t="shared" si="15"/>
        <v>9072.5</v>
      </c>
      <c r="W32" s="87">
        <f t="shared" si="16"/>
        <v>9550</v>
      </c>
      <c r="X32" s="86">
        <f t="shared" si="17"/>
        <v>10027.5</v>
      </c>
      <c r="Y32" s="86">
        <f t="shared" si="18"/>
        <v>10505</v>
      </c>
      <c r="Z32" s="86">
        <f t="shared" si="19"/>
        <v>10982.5</v>
      </c>
      <c r="AA32" s="87">
        <f t="shared" si="20"/>
        <v>11460</v>
      </c>
      <c r="AB32" s="79"/>
      <c r="AC32" s="79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</row>
    <row r="33" ht="21.75" customHeight="1">
      <c r="A33" s="81"/>
      <c r="B33" s="23"/>
      <c r="C33" s="74" t="s">
        <v>8</v>
      </c>
      <c r="D33" s="76">
        <f>G33*D15</f>
        <v>1255.5</v>
      </c>
      <c r="E33" s="76">
        <f>G33*E15</f>
        <v>1813.5</v>
      </c>
      <c r="F33" s="76">
        <f>G33*F15</f>
        <v>2371.5</v>
      </c>
      <c r="G33" s="77">
        <f>N11+Y10</f>
        <v>2790</v>
      </c>
      <c r="H33" s="76">
        <f t="shared" si="1"/>
        <v>3487.5</v>
      </c>
      <c r="I33" s="76">
        <f t="shared" si="2"/>
        <v>4185</v>
      </c>
      <c r="J33" s="76">
        <f t="shared" si="3"/>
        <v>4882.5</v>
      </c>
      <c r="K33" s="77">
        <f t="shared" si="21"/>
        <v>5580</v>
      </c>
      <c r="L33" s="76">
        <f t="shared" si="5"/>
        <v>6277.5</v>
      </c>
      <c r="M33" s="76">
        <f t="shared" si="6"/>
        <v>6975</v>
      </c>
      <c r="N33" s="76">
        <f t="shared" si="7"/>
        <v>7672.5</v>
      </c>
      <c r="O33" s="77">
        <f t="shared" si="22"/>
        <v>8370</v>
      </c>
      <c r="P33" s="76">
        <f t="shared" si="9"/>
        <v>9067.5</v>
      </c>
      <c r="Q33" s="76">
        <f t="shared" si="10"/>
        <v>9765</v>
      </c>
      <c r="R33" s="76">
        <f t="shared" si="11"/>
        <v>10462.5</v>
      </c>
      <c r="S33" s="77">
        <f t="shared" si="12"/>
        <v>11160</v>
      </c>
      <c r="T33" s="76">
        <f t="shared" si="13"/>
        <v>11857.5</v>
      </c>
      <c r="U33" s="76">
        <f t="shared" si="14"/>
        <v>12555</v>
      </c>
      <c r="V33" s="76">
        <f t="shared" si="15"/>
        <v>13252.5</v>
      </c>
      <c r="W33" s="77">
        <f t="shared" si="16"/>
        <v>13950</v>
      </c>
      <c r="X33" s="76">
        <f t="shared" si="17"/>
        <v>14647.5</v>
      </c>
      <c r="Y33" s="76">
        <f t="shared" si="18"/>
        <v>15345</v>
      </c>
      <c r="Z33" s="76">
        <f t="shared" si="19"/>
        <v>16042.5</v>
      </c>
      <c r="AA33" s="78">
        <f t="shared" si="20"/>
        <v>16740</v>
      </c>
      <c r="AB33" s="79"/>
      <c r="AC33" s="79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</row>
    <row r="34" ht="21.75" customHeight="1">
      <c r="A34" s="81"/>
      <c r="B34" s="23"/>
      <c r="C34" s="82" t="s">
        <v>46</v>
      </c>
      <c r="D34" s="83">
        <f>G34*D15</f>
        <v>990</v>
      </c>
      <c r="E34" s="83">
        <f>G34*E15</f>
        <v>1430</v>
      </c>
      <c r="F34" s="83">
        <f>G34*F15</f>
        <v>1870</v>
      </c>
      <c r="G34" s="84">
        <f>N11+Y11</f>
        <v>2200</v>
      </c>
      <c r="H34" s="83">
        <f t="shared" si="1"/>
        <v>2750</v>
      </c>
      <c r="I34" s="83">
        <f t="shared" si="2"/>
        <v>3300</v>
      </c>
      <c r="J34" s="83">
        <f t="shared" si="3"/>
        <v>3850</v>
      </c>
      <c r="K34" s="84">
        <f t="shared" si="21"/>
        <v>4400</v>
      </c>
      <c r="L34" s="83">
        <f t="shared" si="5"/>
        <v>4950</v>
      </c>
      <c r="M34" s="83">
        <f t="shared" si="6"/>
        <v>5500</v>
      </c>
      <c r="N34" s="83">
        <f t="shared" si="7"/>
        <v>6050</v>
      </c>
      <c r="O34" s="84">
        <f t="shared" si="22"/>
        <v>6600</v>
      </c>
      <c r="P34" s="83">
        <f t="shared" si="9"/>
        <v>7150</v>
      </c>
      <c r="Q34" s="83">
        <f t="shared" si="10"/>
        <v>7700</v>
      </c>
      <c r="R34" s="83">
        <f t="shared" si="11"/>
        <v>8250</v>
      </c>
      <c r="S34" s="84">
        <f t="shared" si="12"/>
        <v>8800</v>
      </c>
      <c r="T34" s="83">
        <f t="shared" si="13"/>
        <v>9350</v>
      </c>
      <c r="U34" s="83">
        <f t="shared" si="14"/>
        <v>9900</v>
      </c>
      <c r="V34" s="83">
        <f t="shared" si="15"/>
        <v>10450</v>
      </c>
      <c r="W34" s="84">
        <f t="shared" si="16"/>
        <v>11000</v>
      </c>
      <c r="X34" s="83">
        <f t="shared" si="17"/>
        <v>11550</v>
      </c>
      <c r="Y34" s="83">
        <f t="shared" si="18"/>
        <v>12100</v>
      </c>
      <c r="Z34" s="83">
        <f t="shared" si="19"/>
        <v>12650</v>
      </c>
      <c r="AA34" s="84">
        <f t="shared" si="20"/>
        <v>13200</v>
      </c>
      <c r="AB34" s="79"/>
      <c r="AC34" s="79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</row>
    <row r="35" ht="21.75" customHeight="1">
      <c r="A35" s="81"/>
      <c r="B35" s="50"/>
      <c r="C35" s="85" t="s">
        <v>11</v>
      </c>
      <c r="D35" s="86">
        <f>G35*D15</f>
        <v>895.5</v>
      </c>
      <c r="E35" s="86">
        <f>G35*E15</f>
        <v>1293.5</v>
      </c>
      <c r="F35" s="86">
        <f>G35*F15</f>
        <v>1691.5</v>
      </c>
      <c r="G35" s="87">
        <f>N11+Y12</f>
        <v>1990</v>
      </c>
      <c r="H35" s="86">
        <f t="shared" si="1"/>
        <v>2487.5</v>
      </c>
      <c r="I35" s="86">
        <f t="shared" si="2"/>
        <v>2985</v>
      </c>
      <c r="J35" s="86">
        <f t="shared" si="3"/>
        <v>3482.5</v>
      </c>
      <c r="K35" s="87">
        <f t="shared" si="21"/>
        <v>3980</v>
      </c>
      <c r="L35" s="86">
        <f t="shared" si="5"/>
        <v>4477.5</v>
      </c>
      <c r="M35" s="86">
        <f t="shared" si="6"/>
        <v>4975</v>
      </c>
      <c r="N35" s="86">
        <f t="shared" si="7"/>
        <v>5472.5</v>
      </c>
      <c r="O35" s="87">
        <f t="shared" si="22"/>
        <v>5970</v>
      </c>
      <c r="P35" s="86">
        <f t="shared" si="9"/>
        <v>6467.5</v>
      </c>
      <c r="Q35" s="86">
        <f t="shared" si="10"/>
        <v>6965</v>
      </c>
      <c r="R35" s="86">
        <f t="shared" si="11"/>
        <v>7462.5</v>
      </c>
      <c r="S35" s="87">
        <f t="shared" si="12"/>
        <v>7960</v>
      </c>
      <c r="T35" s="86">
        <f t="shared" si="13"/>
        <v>8457.5</v>
      </c>
      <c r="U35" s="86">
        <f t="shared" si="14"/>
        <v>8955</v>
      </c>
      <c r="V35" s="86">
        <f t="shared" si="15"/>
        <v>9452.5</v>
      </c>
      <c r="W35" s="87">
        <f t="shared" si="16"/>
        <v>9950</v>
      </c>
      <c r="X35" s="86">
        <f t="shared" si="17"/>
        <v>10447.5</v>
      </c>
      <c r="Y35" s="86">
        <f t="shared" si="18"/>
        <v>10945</v>
      </c>
      <c r="Z35" s="86">
        <f t="shared" si="19"/>
        <v>11442.5</v>
      </c>
      <c r="AA35" s="87">
        <f t="shared" si="20"/>
        <v>11940</v>
      </c>
      <c r="AB35" s="79"/>
      <c r="AC35" s="79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</row>
    <row r="36" ht="21.75" customHeight="1">
      <c r="A36" s="81"/>
      <c r="B36" s="110" t="s">
        <v>52</v>
      </c>
      <c r="C36" s="74" t="s">
        <v>4</v>
      </c>
      <c r="D36" s="76">
        <f>G36*D15</f>
        <v>967.5</v>
      </c>
      <c r="E36" s="76">
        <f>G36*E15</f>
        <v>1397.5</v>
      </c>
      <c r="F36" s="76">
        <f>G36*F15</f>
        <v>1827.5</v>
      </c>
      <c r="G36" s="77">
        <f>N13+Y7</f>
        <v>2150</v>
      </c>
      <c r="H36" s="76">
        <f t="shared" si="1"/>
        <v>2687.5</v>
      </c>
      <c r="I36" s="76">
        <f t="shared" si="2"/>
        <v>3225</v>
      </c>
      <c r="J36" s="76">
        <f t="shared" si="3"/>
        <v>3762.5</v>
      </c>
      <c r="K36" s="77">
        <f t="shared" si="21"/>
        <v>4300</v>
      </c>
      <c r="L36" s="76">
        <f t="shared" si="5"/>
        <v>4837.5</v>
      </c>
      <c r="M36" s="76">
        <f t="shared" si="6"/>
        <v>5375</v>
      </c>
      <c r="N36" s="76">
        <f t="shared" si="7"/>
        <v>5912.5</v>
      </c>
      <c r="O36" s="77">
        <f t="shared" si="22"/>
        <v>6450</v>
      </c>
      <c r="P36" s="76">
        <f t="shared" si="9"/>
        <v>6987.5</v>
      </c>
      <c r="Q36" s="76">
        <f t="shared" si="10"/>
        <v>7525</v>
      </c>
      <c r="R36" s="76">
        <f t="shared" si="11"/>
        <v>8062.5</v>
      </c>
      <c r="S36" s="77">
        <f t="shared" si="12"/>
        <v>8600</v>
      </c>
      <c r="T36" s="76">
        <f t="shared" si="13"/>
        <v>9137.5</v>
      </c>
      <c r="U36" s="76">
        <f t="shared" si="14"/>
        <v>9675</v>
      </c>
      <c r="V36" s="76">
        <f t="shared" si="15"/>
        <v>10212.5</v>
      </c>
      <c r="W36" s="77">
        <f t="shared" si="16"/>
        <v>10750</v>
      </c>
      <c r="X36" s="76">
        <f t="shared" si="17"/>
        <v>11287.5</v>
      </c>
      <c r="Y36" s="76">
        <f t="shared" si="18"/>
        <v>11825</v>
      </c>
      <c r="Z36" s="76">
        <f t="shared" si="19"/>
        <v>12362.5</v>
      </c>
      <c r="AA36" s="77">
        <f t="shared" si="20"/>
        <v>12900</v>
      </c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</row>
    <row r="37" ht="21.75" customHeight="1">
      <c r="A37" s="81"/>
      <c r="B37" s="23"/>
      <c r="C37" s="82" t="s">
        <v>45</v>
      </c>
      <c r="D37" s="83">
        <f>G37*D15</f>
        <v>774</v>
      </c>
      <c r="E37" s="83">
        <f>G37*E15</f>
        <v>1118</v>
      </c>
      <c r="F37" s="83">
        <f>G37*F15</f>
        <v>1462</v>
      </c>
      <c r="G37" s="84">
        <f>N13+Y8</f>
        <v>1720</v>
      </c>
      <c r="H37" s="83">
        <f t="shared" si="1"/>
        <v>2150</v>
      </c>
      <c r="I37" s="83">
        <f t="shared" si="2"/>
        <v>2580</v>
      </c>
      <c r="J37" s="83">
        <f t="shared" si="3"/>
        <v>3010</v>
      </c>
      <c r="K37" s="84">
        <f t="shared" si="21"/>
        <v>3440</v>
      </c>
      <c r="L37" s="83">
        <f t="shared" si="5"/>
        <v>3870</v>
      </c>
      <c r="M37" s="83">
        <f t="shared" si="6"/>
        <v>4300</v>
      </c>
      <c r="N37" s="83">
        <f t="shared" si="7"/>
        <v>4730</v>
      </c>
      <c r="O37" s="84">
        <f t="shared" si="22"/>
        <v>5160</v>
      </c>
      <c r="P37" s="83">
        <f t="shared" si="9"/>
        <v>5590</v>
      </c>
      <c r="Q37" s="83">
        <f t="shared" si="10"/>
        <v>6020</v>
      </c>
      <c r="R37" s="83">
        <f t="shared" si="11"/>
        <v>6450</v>
      </c>
      <c r="S37" s="84">
        <f t="shared" si="12"/>
        <v>6880</v>
      </c>
      <c r="T37" s="83">
        <f t="shared" si="13"/>
        <v>7310</v>
      </c>
      <c r="U37" s="83">
        <f t="shared" si="14"/>
        <v>7740</v>
      </c>
      <c r="V37" s="83">
        <f t="shared" si="15"/>
        <v>8170</v>
      </c>
      <c r="W37" s="84">
        <f t="shared" si="16"/>
        <v>8600</v>
      </c>
      <c r="X37" s="83">
        <f t="shared" si="17"/>
        <v>9030</v>
      </c>
      <c r="Y37" s="83">
        <f t="shared" si="18"/>
        <v>9460</v>
      </c>
      <c r="Z37" s="83">
        <f t="shared" si="19"/>
        <v>9890</v>
      </c>
      <c r="AA37" s="84">
        <f t="shared" si="20"/>
        <v>10320</v>
      </c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</row>
    <row r="38" ht="21.75" customHeight="1">
      <c r="A38" s="81"/>
      <c r="B38" s="23"/>
      <c r="C38" s="85" t="s">
        <v>6</v>
      </c>
      <c r="D38" s="86">
        <f>G38*D15</f>
        <v>702</v>
      </c>
      <c r="E38" s="86">
        <f>G38*E15</f>
        <v>1014</v>
      </c>
      <c r="F38" s="86">
        <f>G38*F15</f>
        <v>1326</v>
      </c>
      <c r="G38" s="87">
        <f>N13+Y9</f>
        <v>1560</v>
      </c>
      <c r="H38" s="86">
        <f t="shared" si="1"/>
        <v>1950</v>
      </c>
      <c r="I38" s="86">
        <f t="shared" si="2"/>
        <v>2340</v>
      </c>
      <c r="J38" s="86">
        <f t="shared" si="3"/>
        <v>2730</v>
      </c>
      <c r="K38" s="87">
        <f t="shared" si="21"/>
        <v>3120</v>
      </c>
      <c r="L38" s="86">
        <f t="shared" si="5"/>
        <v>3510</v>
      </c>
      <c r="M38" s="86">
        <f t="shared" si="6"/>
        <v>3900</v>
      </c>
      <c r="N38" s="86">
        <f t="shared" si="7"/>
        <v>4290</v>
      </c>
      <c r="O38" s="87">
        <f t="shared" si="22"/>
        <v>4680</v>
      </c>
      <c r="P38" s="86">
        <f t="shared" si="9"/>
        <v>5070</v>
      </c>
      <c r="Q38" s="86">
        <f t="shared" si="10"/>
        <v>5460</v>
      </c>
      <c r="R38" s="86">
        <f t="shared" si="11"/>
        <v>5850</v>
      </c>
      <c r="S38" s="87">
        <f t="shared" si="12"/>
        <v>6240</v>
      </c>
      <c r="T38" s="86">
        <f t="shared" si="13"/>
        <v>6630</v>
      </c>
      <c r="U38" s="86">
        <f t="shared" si="14"/>
        <v>7020</v>
      </c>
      <c r="V38" s="86">
        <f t="shared" si="15"/>
        <v>7410</v>
      </c>
      <c r="W38" s="87">
        <f t="shared" si="16"/>
        <v>7800</v>
      </c>
      <c r="X38" s="86">
        <f t="shared" si="17"/>
        <v>8190</v>
      </c>
      <c r="Y38" s="86">
        <f t="shared" si="18"/>
        <v>8580</v>
      </c>
      <c r="Z38" s="86">
        <f t="shared" si="19"/>
        <v>8970</v>
      </c>
      <c r="AA38" s="87">
        <f t="shared" si="20"/>
        <v>9360</v>
      </c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</row>
    <row r="39" ht="21.75" customHeight="1">
      <c r="A39" s="81"/>
      <c r="B39" s="23"/>
      <c r="C39" s="74" t="s">
        <v>8</v>
      </c>
      <c r="D39" s="76">
        <f>G39*D15</f>
        <v>1098</v>
      </c>
      <c r="E39" s="76">
        <f>G39*E15</f>
        <v>1586</v>
      </c>
      <c r="F39" s="76">
        <f>G39*F15</f>
        <v>2074</v>
      </c>
      <c r="G39" s="77">
        <f>N13+Y10</f>
        <v>2440</v>
      </c>
      <c r="H39" s="76">
        <f t="shared" si="1"/>
        <v>3050</v>
      </c>
      <c r="I39" s="76">
        <f t="shared" si="2"/>
        <v>3660</v>
      </c>
      <c r="J39" s="76">
        <f t="shared" si="3"/>
        <v>4270</v>
      </c>
      <c r="K39" s="77">
        <f t="shared" si="21"/>
        <v>4880</v>
      </c>
      <c r="L39" s="76">
        <f t="shared" si="5"/>
        <v>5490</v>
      </c>
      <c r="M39" s="76">
        <f t="shared" si="6"/>
        <v>6100</v>
      </c>
      <c r="N39" s="76">
        <f t="shared" si="7"/>
        <v>6710</v>
      </c>
      <c r="O39" s="77">
        <f t="shared" si="22"/>
        <v>7320</v>
      </c>
      <c r="P39" s="76">
        <f t="shared" si="9"/>
        <v>7930</v>
      </c>
      <c r="Q39" s="76">
        <f t="shared" si="10"/>
        <v>8540</v>
      </c>
      <c r="R39" s="76">
        <f t="shared" si="11"/>
        <v>9150</v>
      </c>
      <c r="S39" s="77">
        <f t="shared" si="12"/>
        <v>9760</v>
      </c>
      <c r="T39" s="76">
        <f t="shared" si="13"/>
        <v>10370</v>
      </c>
      <c r="U39" s="76">
        <f t="shared" si="14"/>
        <v>10980</v>
      </c>
      <c r="V39" s="76">
        <f t="shared" si="15"/>
        <v>11590</v>
      </c>
      <c r="W39" s="77">
        <f t="shared" si="16"/>
        <v>12200</v>
      </c>
      <c r="X39" s="76">
        <f t="shared" si="17"/>
        <v>12810</v>
      </c>
      <c r="Y39" s="76">
        <f t="shared" si="18"/>
        <v>13420</v>
      </c>
      <c r="Z39" s="76">
        <f t="shared" si="19"/>
        <v>14030</v>
      </c>
      <c r="AA39" s="77">
        <f t="shared" si="20"/>
        <v>14640</v>
      </c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</row>
    <row r="40" ht="21.75" customHeight="1">
      <c r="A40" s="81"/>
      <c r="B40" s="23"/>
      <c r="C40" s="82" t="s">
        <v>46</v>
      </c>
      <c r="D40" s="83">
        <f>G40*D15</f>
        <v>832.5</v>
      </c>
      <c r="E40" s="83">
        <f>G40*E15</f>
        <v>1202.5</v>
      </c>
      <c r="F40" s="83">
        <f>G40*F15</f>
        <v>1572.5</v>
      </c>
      <c r="G40" s="84">
        <f>N13+Y11</f>
        <v>1850</v>
      </c>
      <c r="H40" s="83">
        <f t="shared" si="1"/>
        <v>2312.5</v>
      </c>
      <c r="I40" s="83">
        <f t="shared" si="2"/>
        <v>2775</v>
      </c>
      <c r="J40" s="83">
        <f t="shared" si="3"/>
        <v>3237.5</v>
      </c>
      <c r="K40" s="84">
        <f t="shared" si="21"/>
        <v>3700</v>
      </c>
      <c r="L40" s="83">
        <f t="shared" si="5"/>
        <v>4162.5</v>
      </c>
      <c r="M40" s="83">
        <f t="shared" si="6"/>
        <v>4625</v>
      </c>
      <c r="N40" s="83">
        <f t="shared" si="7"/>
        <v>5087.5</v>
      </c>
      <c r="O40" s="84">
        <f t="shared" si="22"/>
        <v>5550</v>
      </c>
      <c r="P40" s="83">
        <f t="shared" si="9"/>
        <v>6012.5</v>
      </c>
      <c r="Q40" s="83">
        <f t="shared" si="10"/>
        <v>6475</v>
      </c>
      <c r="R40" s="83">
        <f t="shared" si="11"/>
        <v>6937.5</v>
      </c>
      <c r="S40" s="84">
        <f t="shared" si="12"/>
        <v>7400</v>
      </c>
      <c r="T40" s="83">
        <f t="shared" si="13"/>
        <v>7862.5</v>
      </c>
      <c r="U40" s="83">
        <f t="shared" si="14"/>
        <v>8325</v>
      </c>
      <c r="V40" s="83">
        <f t="shared" si="15"/>
        <v>8787.5</v>
      </c>
      <c r="W40" s="84">
        <f t="shared" si="16"/>
        <v>9250</v>
      </c>
      <c r="X40" s="83">
        <f t="shared" si="17"/>
        <v>9712.5</v>
      </c>
      <c r="Y40" s="83">
        <f t="shared" si="18"/>
        <v>10175</v>
      </c>
      <c r="Z40" s="83">
        <f t="shared" si="19"/>
        <v>10637.5</v>
      </c>
      <c r="AA40" s="84">
        <f t="shared" si="20"/>
        <v>11100</v>
      </c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</row>
    <row r="41" ht="21.75" customHeight="1">
      <c r="A41" s="92"/>
      <c r="B41" s="50"/>
      <c r="C41" s="85" t="s">
        <v>11</v>
      </c>
      <c r="D41" s="86">
        <f>G41*D15</f>
        <v>738</v>
      </c>
      <c r="E41" s="86">
        <f>G41*E15</f>
        <v>1066</v>
      </c>
      <c r="F41" s="86">
        <f>G41*F15</f>
        <v>1394</v>
      </c>
      <c r="G41" s="87">
        <f>N13+Y12</f>
        <v>1640</v>
      </c>
      <c r="H41" s="86">
        <f t="shared" si="1"/>
        <v>2050</v>
      </c>
      <c r="I41" s="86">
        <f t="shared" si="2"/>
        <v>2460</v>
      </c>
      <c r="J41" s="86">
        <f t="shared" si="3"/>
        <v>2870</v>
      </c>
      <c r="K41" s="87">
        <f t="shared" si="21"/>
        <v>3280</v>
      </c>
      <c r="L41" s="86">
        <f t="shared" si="5"/>
        <v>3690</v>
      </c>
      <c r="M41" s="86">
        <f t="shared" si="6"/>
        <v>4100</v>
      </c>
      <c r="N41" s="86">
        <f t="shared" si="7"/>
        <v>4510</v>
      </c>
      <c r="O41" s="87">
        <f t="shared" si="22"/>
        <v>4920</v>
      </c>
      <c r="P41" s="86">
        <f t="shared" si="9"/>
        <v>5330</v>
      </c>
      <c r="Q41" s="86">
        <f t="shared" si="10"/>
        <v>5740</v>
      </c>
      <c r="R41" s="86">
        <f t="shared" si="11"/>
        <v>6150</v>
      </c>
      <c r="S41" s="87">
        <f t="shared" si="12"/>
        <v>6560</v>
      </c>
      <c r="T41" s="86">
        <f t="shared" si="13"/>
        <v>6970</v>
      </c>
      <c r="U41" s="86">
        <f t="shared" si="14"/>
        <v>7380</v>
      </c>
      <c r="V41" s="86">
        <f t="shared" si="15"/>
        <v>7790</v>
      </c>
      <c r="W41" s="87">
        <f t="shared" si="16"/>
        <v>8200</v>
      </c>
      <c r="X41" s="86">
        <f t="shared" si="17"/>
        <v>8610</v>
      </c>
      <c r="Y41" s="86">
        <f t="shared" si="18"/>
        <v>9020</v>
      </c>
      <c r="Z41" s="86">
        <f t="shared" si="19"/>
        <v>9430</v>
      </c>
      <c r="AA41" s="87">
        <f t="shared" si="20"/>
        <v>9840</v>
      </c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</row>
    <row r="42" ht="15.75" customHeight="1">
      <c r="A42" s="9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ht="15.75" customHeight="1">
      <c r="A43" s="9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ht="15.0" customHeight="1">
      <c r="A44" s="94" t="s">
        <v>49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ht="15.0" customHeight="1">
      <c r="A45" s="94" t="s">
        <v>50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ht="15.75" customHeight="1">
      <c r="A46" s="9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ht="15.75" customHeight="1">
      <c r="A47" s="9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ht="15.75" customHeight="1">
      <c r="A48" s="9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ht="15.75" customHeight="1">
      <c r="A49" s="9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ht="15.75" customHeight="1">
      <c r="A50" s="9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ht="15.75" customHeight="1">
      <c r="A51" s="9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ht="15.75" customHeight="1">
      <c r="A52" s="9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ht="15.75" customHeight="1">
      <c r="A53" s="9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ht="15.75" customHeight="1">
      <c r="A54" s="9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ht="15.75" customHeight="1">
      <c r="A55" s="9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ht="15.75" customHeight="1">
      <c r="A56" s="9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ht="15.75" customHeight="1">
      <c r="A57" s="9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ht="15.75" customHeight="1">
      <c r="A58" s="9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ht="15.75" customHeight="1">
      <c r="A59" s="9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ht="15.75" customHeight="1">
      <c r="A60" s="9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ht="15.75" customHeight="1">
      <c r="A61" s="9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ht="15.75" customHeight="1">
      <c r="A62" s="9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ht="15.75" customHeight="1">
      <c r="A63" s="9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ht="15.75" customHeight="1">
      <c r="A64" s="9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ht="15.75" customHeight="1">
      <c r="A65" s="9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ht="15.75" customHeight="1">
      <c r="A66" s="9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ht="15.75" customHeight="1">
      <c r="A67" s="9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ht="15.75" customHeight="1">
      <c r="A68" s="9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ht="15.75" customHeight="1">
      <c r="A69" s="9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ht="15.75" customHeight="1">
      <c r="A70" s="9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ht="15.75" customHeight="1">
      <c r="A71" s="9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ht="15.75" customHeight="1">
      <c r="A72" s="9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ht="15.75" customHeight="1">
      <c r="A73" s="9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ht="15.75" customHeight="1">
      <c r="A74" s="9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ht="15.75" customHeight="1">
      <c r="A75" s="9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ht="15.75" customHeight="1">
      <c r="A76" s="9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ht="15.75" customHeight="1">
      <c r="A77" s="9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ht="15.75" customHeight="1">
      <c r="A78" s="9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ht="15.75" customHeight="1">
      <c r="A79" s="9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ht="15.75" customHeight="1">
      <c r="A80" s="9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ht="15.75" customHeight="1">
      <c r="A81" s="9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ht="15.75" customHeight="1">
      <c r="A82" s="9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ht="15.75" customHeight="1">
      <c r="A83" s="9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ht="15.75" customHeight="1">
      <c r="A84" s="9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ht="15.75" customHeight="1">
      <c r="A85" s="9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ht="15.75" customHeight="1">
      <c r="A86" s="9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ht="15.75" customHeight="1">
      <c r="A87" s="9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ht="15.75" customHeight="1">
      <c r="A88" s="9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ht="15.75" customHeight="1">
      <c r="A89" s="9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ht="15.75" customHeight="1">
      <c r="A90" s="9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ht="15.75" customHeight="1">
      <c r="A91" s="9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ht="15.75" customHeight="1">
      <c r="A92" s="9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ht="15.75" customHeight="1">
      <c r="A93" s="9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ht="15.75" customHeight="1">
      <c r="A94" s="9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ht="15.75" customHeight="1">
      <c r="A95" s="9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ht="15.75" customHeight="1">
      <c r="A96" s="9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ht="15.75" customHeight="1">
      <c r="A97" s="9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ht="15.75" customHeight="1">
      <c r="A98" s="9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ht="15.75" customHeight="1">
      <c r="A99" s="9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ht="15.75" customHeight="1">
      <c r="A100" s="9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ht="15.75" customHeight="1">
      <c r="A101" s="9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ht="15.75" customHeight="1">
      <c r="A102" s="9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ht="15.75" customHeight="1">
      <c r="A103" s="9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ht="15.75" customHeight="1">
      <c r="A104" s="9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ht="15.75" customHeight="1">
      <c r="A105" s="9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ht="15.75" customHeight="1">
      <c r="A106" s="9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ht="15.75" customHeight="1">
      <c r="A107" s="9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ht="15.75" customHeight="1">
      <c r="A108" s="9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ht="15.75" customHeight="1">
      <c r="A109" s="9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ht="15.75" customHeight="1">
      <c r="A110" s="9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ht="15.75" customHeight="1">
      <c r="A111" s="9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ht="15.75" customHeight="1">
      <c r="A112" s="9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ht="15.75" customHeight="1">
      <c r="A113" s="9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ht="15.75" customHeight="1">
      <c r="A114" s="9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ht="15.75" customHeight="1">
      <c r="A115" s="9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ht="15.75" customHeight="1">
      <c r="A116" s="9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ht="15.75" customHeight="1">
      <c r="A117" s="9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ht="15.75" customHeight="1">
      <c r="A118" s="9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ht="15.75" customHeight="1">
      <c r="A119" s="9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ht="15.75" customHeight="1">
      <c r="A120" s="9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ht="15.75" customHeight="1">
      <c r="A121" s="9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ht="15.75" customHeight="1">
      <c r="A122" s="9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ht="15.75" customHeight="1">
      <c r="A123" s="9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ht="15.75" customHeight="1">
      <c r="A124" s="9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ht="15.75" customHeight="1">
      <c r="A125" s="9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ht="15.75" customHeight="1">
      <c r="A126" s="9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ht="15.75" customHeight="1">
      <c r="A127" s="9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ht="15.75" customHeight="1">
      <c r="A128" s="9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ht="15.75" customHeight="1">
      <c r="A129" s="9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ht="15.75" customHeight="1">
      <c r="A130" s="9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ht="15.75" customHeight="1">
      <c r="A131" s="9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ht="15.75" customHeight="1">
      <c r="A132" s="9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ht="15.75" customHeight="1">
      <c r="A133" s="9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ht="15.75" customHeight="1">
      <c r="A134" s="9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ht="15.75" customHeight="1">
      <c r="A135" s="9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ht="15.75" customHeight="1">
      <c r="A136" s="9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ht="15.75" customHeight="1">
      <c r="A137" s="9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ht="15.75" customHeight="1">
      <c r="A138" s="9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ht="15.75" customHeight="1">
      <c r="A139" s="9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ht="15.75" customHeight="1">
      <c r="A140" s="9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ht="15.75" customHeight="1">
      <c r="A141" s="9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ht="15.75" customHeight="1">
      <c r="A142" s="9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ht="15.75" customHeight="1">
      <c r="A143" s="9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ht="15.75" customHeight="1">
      <c r="A144" s="9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ht="15.75" customHeight="1">
      <c r="A145" s="9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ht="15.75" customHeight="1">
      <c r="A146" s="9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ht="15.75" customHeight="1">
      <c r="A147" s="9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ht="15.75" customHeight="1">
      <c r="A148" s="9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ht="15.75" customHeight="1">
      <c r="A149" s="9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ht="15.75" customHeight="1">
      <c r="A150" s="9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ht="15.75" customHeight="1">
      <c r="A151" s="9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ht="15.75" customHeight="1">
      <c r="A152" s="9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ht="15.75" customHeight="1">
      <c r="A153" s="9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ht="15.75" customHeight="1">
      <c r="A154" s="9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ht="15.75" customHeight="1">
      <c r="A155" s="9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ht="15.75" customHeight="1">
      <c r="A156" s="9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ht="15.75" customHeight="1">
      <c r="A157" s="9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ht="15.75" customHeight="1">
      <c r="A158" s="9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ht="15.75" customHeight="1">
      <c r="A159" s="9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ht="15.75" customHeight="1">
      <c r="A160" s="9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ht="15.75" customHeight="1">
      <c r="A161" s="9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ht="15.75" customHeight="1">
      <c r="A162" s="9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ht="15.75" customHeight="1">
      <c r="A163" s="9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ht="15.75" customHeight="1">
      <c r="A164" s="9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ht="15.75" customHeight="1">
      <c r="A165" s="9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ht="15.75" customHeight="1">
      <c r="A166" s="9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ht="15.75" customHeight="1">
      <c r="A167" s="9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ht="15.75" customHeight="1">
      <c r="A168" s="9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ht="15.75" customHeight="1">
      <c r="A169" s="9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ht="15.75" customHeight="1">
      <c r="A170" s="9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ht="15.75" customHeight="1">
      <c r="A171" s="9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ht="15.75" customHeight="1">
      <c r="A172" s="9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ht="15.75" customHeight="1">
      <c r="A173" s="9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ht="15.75" customHeight="1">
      <c r="A174" s="9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ht="15.75" customHeight="1">
      <c r="A175" s="9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ht="15.75" customHeight="1">
      <c r="A176" s="9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ht="15.75" customHeight="1">
      <c r="A177" s="9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ht="15.75" customHeight="1">
      <c r="A178" s="9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ht="15.75" customHeight="1">
      <c r="A179" s="9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ht="15.75" customHeight="1">
      <c r="A180" s="9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ht="15.75" customHeight="1">
      <c r="A181" s="9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ht="15.75" customHeight="1">
      <c r="A182" s="9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ht="15.75" customHeight="1">
      <c r="A183" s="9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ht="15.75" customHeight="1">
      <c r="A184" s="9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ht="15.75" customHeight="1">
      <c r="A185" s="9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ht="15.75" customHeight="1">
      <c r="A186" s="9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ht="15.75" customHeight="1">
      <c r="A187" s="9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ht="15.75" customHeight="1">
      <c r="A188" s="9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ht="15.75" customHeight="1">
      <c r="A189" s="9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ht="15.75" customHeight="1">
      <c r="A190" s="9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ht="15.75" customHeight="1">
      <c r="A191" s="9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ht="15.75" customHeight="1">
      <c r="A192" s="9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ht="15.75" customHeight="1">
      <c r="A193" s="9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ht="15.75" customHeight="1">
      <c r="A194" s="9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ht="15.75" customHeight="1">
      <c r="A195" s="9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ht="15.75" customHeight="1">
      <c r="A196" s="9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ht="15.75" customHeight="1">
      <c r="A197" s="9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ht="15.75" customHeight="1">
      <c r="A198" s="9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ht="15.75" customHeight="1">
      <c r="A199" s="9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ht="15.75" customHeight="1">
      <c r="A200" s="9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ht="15.75" customHeight="1">
      <c r="A201" s="9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ht="15.75" customHeight="1">
      <c r="A202" s="9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ht="15.75" customHeight="1">
      <c r="A203" s="9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ht="15.75" customHeight="1">
      <c r="A204" s="9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ht="15.75" customHeight="1">
      <c r="A205" s="9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ht="15.75" customHeight="1">
      <c r="A206" s="9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ht="15.75" customHeight="1">
      <c r="A207" s="9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ht="15.75" customHeight="1">
      <c r="A208" s="9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ht="15.75" customHeight="1">
      <c r="A209" s="9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ht="15.75" customHeight="1">
      <c r="A210" s="9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ht="15.75" customHeight="1">
      <c r="A211" s="9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ht="15.75" customHeight="1">
      <c r="A212" s="9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ht="15.75" customHeight="1">
      <c r="A213" s="9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ht="15.75" customHeight="1">
      <c r="A214" s="9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ht="15.75" customHeight="1">
      <c r="A215" s="9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ht="15.75" customHeight="1">
      <c r="A216" s="9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ht="15.75" customHeight="1">
      <c r="A217" s="9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ht="15.75" customHeight="1">
      <c r="A218" s="9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ht="15.75" customHeight="1">
      <c r="A219" s="9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ht="15.75" customHeight="1">
      <c r="A220" s="9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ht="15.75" customHeight="1">
      <c r="A221" s="9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ht="15.75" customHeight="1">
      <c r="A222" s="9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ht="15.75" customHeight="1">
      <c r="A223" s="9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ht="15.75" customHeight="1">
      <c r="A224" s="9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ht="15.75" customHeight="1">
      <c r="A225" s="9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ht="15.75" customHeight="1">
      <c r="A226" s="9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ht="15.75" customHeight="1">
      <c r="A227" s="9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ht="15.75" customHeight="1">
      <c r="A228" s="9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ht="15.75" customHeight="1">
      <c r="A229" s="9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ht="15.75" customHeight="1">
      <c r="A230" s="9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ht="15.75" customHeight="1">
      <c r="A231" s="9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ht="15.75" customHeight="1">
      <c r="A232" s="9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ht="15.75" customHeight="1">
      <c r="A233" s="9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ht="15.75" customHeight="1">
      <c r="A234" s="9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ht="15.75" customHeight="1">
      <c r="A235" s="9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ht="15.75" customHeight="1">
      <c r="A236" s="9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ht="15.75" customHeight="1">
      <c r="A237" s="9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ht="15.75" customHeight="1">
      <c r="A238" s="9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ht="15.75" customHeight="1">
      <c r="A239" s="9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ht="15.75" customHeight="1">
      <c r="A240" s="9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ht="15.75" customHeight="1">
      <c r="A241" s="9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ht="15.75" customHeight="1">
      <c r="A242" s="9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ht="15.75" customHeight="1">
      <c r="A243" s="9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ht="15.75" customHeight="1">
      <c r="A244" s="9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ht="15.75" customHeight="1">
      <c r="A245" s="9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ht="15.75" customHeight="1">
      <c r="A246" s="9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ht="15.75" customHeight="1">
      <c r="A247" s="9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ht="15.75" customHeight="1">
      <c r="A248" s="9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ht="15.75" customHeight="1">
      <c r="A249" s="9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ht="15.75" customHeight="1">
      <c r="A250" s="9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ht="15.75" customHeight="1">
      <c r="A251" s="9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ht="15.75" customHeight="1">
      <c r="A252" s="9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ht="15.75" customHeight="1">
      <c r="A253" s="9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ht="15.75" customHeight="1">
      <c r="A254" s="9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ht="15.75" customHeight="1">
      <c r="A255" s="9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ht="15.75" customHeight="1">
      <c r="A256" s="9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ht="15.75" customHeight="1">
      <c r="A257" s="9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ht="15.75" customHeight="1">
      <c r="A258" s="9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ht="15.75" customHeight="1">
      <c r="A259" s="9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ht="15.75" customHeight="1">
      <c r="A260" s="9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ht="15.75" customHeight="1">
      <c r="A261" s="9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ht="15.75" customHeight="1">
      <c r="A262" s="9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ht="15.75" customHeight="1">
      <c r="A263" s="9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ht="15.75" customHeight="1">
      <c r="A264" s="9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ht="15.75" customHeight="1">
      <c r="A265" s="9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ht="15.75" customHeight="1">
      <c r="A266" s="9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ht="15.75" customHeight="1">
      <c r="A267" s="9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ht="15.75" customHeight="1">
      <c r="A268" s="9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ht="15.75" customHeight="1">
      <c r="A269" s="9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ht="15.75" customHeight="1">
      <c r="A270" s="9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ht="15.75" customHeight="1">
      <c r="A271" s="9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ht="15.75" customHeight="1">
      <c r="A272" s="9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ht="15.75" customHeight="1">
      <c r="A273" s="9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ht="15.75" customHeight="1">
      <c r="A274" s="9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ht="15.75" customHeight="1">
      <c r="A275" s="9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ht="15.75" customHeight="1">
      <c r="A276" s="9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ht="15.75" customHeight="1">
      <c r="A277" s="9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ht="15.75" customHeight="1">
      <c r="A278" s="9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ht="15.75" customHeight="1">
      <c r="A279" s="9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ht="15.75" customHeight="1">
      <c r="A280" s="9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ht="15.75" customHeight="1">
      <c r="A281" s="9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ht="15.75" customHeight="1">
      <c r="A282" s="9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ht="15.75" customHeight="1">
      <c r="A283" s="9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ht="15.75" customHeight="1">
      <c r="A284" s="9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ht="15.75" customHeight="1">
      <c r="A285" s="9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ht="15.75" customHeight="1">
      <c r="A286" s="9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ht="15.75" customHeight="1">
      <c r="A287" s="9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ht="15.75" customHeight="1">
      <c r="A288" s="9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ht="15.75" customHeight="1">
      <c r="A289" s="9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ht="15.75" customHeight="1">
      <c r="A290" s="9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ht="15.75" customHeight="1">
      <c r="A291" s="9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ht="15.75" customHeight="1">
      <c r="A292" s="9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ht="15.75" customHeight="1">
      <c r="A293" s="9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ht="15.75" customHeight="1">
      <c r="A294" s="9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ht="15.75" customHeight="1">
      <c r="A295" s="9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ht="15.75" customHeight="1">
      <c r="A296" s="9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ht="15.75" customHeight="1">
      <c r="A297" s="9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ht="15.75" customHeight="1">
      <c r="A298" s="9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ht="15.75" customHeight="1">
      <c r="A299" s="9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ht="15.75" customHeight="1">
      <c r="A300" s="9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ht="15.75" customHeight="1">
      <c r="A301" s="9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ht="15.75" customHeight="1">
      <c r="A302" s="9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ht="15.75" customHeight="1">
      <c r="A303" s="9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ht="15.75" customHeight="1">
      <c r="A304" s="9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ht="15.75" customHeight="1">
      <c r="A305" s="9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ht="15.75" customHeight="1">
      <c r="A306" s="9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ht="15.75" customHeight="1">
      <c r="A307" s="9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ht="15.75" customHeight="1">
      <c r="A308" s="9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ht="15.75" customHeight="1">
      <c r="A309" s="9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ht="15.75" customHeight="1">
      <c r="A310" s="9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ht="15.75" customHeight="1">
      <c r="A311" s="9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ht="15.75" customHeight="1">
      <c r="A312" s="9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ht="15.75" customHeight="1">
      <c r="A313" s="9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ht="15.75" customHeight="1">
      <c r="A314" s="9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ht="15.75" customHeight="1">
      <c r="A315" s="9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ht="15.75" customHeight="1">
      <c r="A316" s="9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ht="15.75" customHeight="1">
      <c r="A317" s="9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ht="15.75" customHeight="1">
      <c r="A318" s="9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ht="15.75" customHeight="1">
      <c r="A319" s="9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ht="15.75" customHeight="1">
      <c r="A320" s="9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ht="15.75" customHeight="1">
      <c r="A321" s="9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ht="15.75" customHeight="1">
      <c r="A322" s="9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ht="15.75" customHeight="1">
      <c r="A323" s="9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ht="15.75" customHeight="1">
      <c r="A324" s="9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ht="15.75" customHeight="1">
      <c r="A325" s="9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ht="15.75" customHeight="1">
      <c r="A326" s="9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ht="15.75" customHeight="1">
      <c r="A327" s="9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ht="15.75" customHeight="1">
      <c r="A328" s="9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ht="15.75" customHeight="1">
      <c r="A329" s="9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ht="15.75" customHeight="1">
      <c r="A330" s="9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ht="15.75" customHeight="1">
      <c r="A331" s="9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ht="15.75" customHeight="1">
      <c r="A332" s="9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ht="15.75" customHeight="1">
      <c r="A333" s="9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ht="15.75" customHeight="1">
      <c r="A334" s="9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ht="15.75" customHeight="1">
      <c r="A335" s="9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ht="15.75" customHeight="1">
      <c r="A336" s="9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ht="15.75" customHeight="1">
      <c r="A337" s="9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ht="15.75" customHeight="1">
      <c r="A338" s="9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ht="15.75" customHeight="1">
      <c r="A339" s="9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ht="15.75" customHeight="1">
      <c r="A340" s="9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ht="15.75" customHeight="1">
      <c r="A341" s="9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ht="15.75" customHeight="1">
      <c r="A342" s="9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ht="15.75" customHeight="1">
      <c r="A343" s="9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ht="15.75" customHeight="1">
      <c r="A344" s="9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ht="15.75" customHeight="1">
      <c r="A345" s="9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ht="15.75" customHeight="1">
      <c r="A346" s="9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ht="15.75" customHeight="1">
      <c r="A347" s="9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ht="15.75" customHeight="1">
      <c r="A348" s="9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ht="15.75" customHeight="1">
      <c r="A349" s="9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ht="15.75" customHeight="1">
      <c r="A350" s="9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ht="15.75" customHeight="1">
      <c r="A351" s="9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ht="15.75" customHeight="1">
      <c r="A352" s="9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ht="15.75" customHeight="1">
      <c r="A353" s="9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ht="15.75" customHeight="1">
      <c r="A354" s="9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ht="15.75" customHeight="1">
      <c r="A355" s="9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ht="15.75" customHeight="1">
      <c r="A356" s="9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ht="15.75" customHeight="1">
      <c r="A357" s="9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ht="15.75" customHeight="1">
      <c r="A358" s="9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ht="15.75" customHeight="1">
      <c r="A359" s="9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ht="15.75" customHeight="1">
      <c r="A360" s="9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ht="15.75" customHeight="1">
      <c r="A361" s="9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ht="15.75" customHeight="1">
      <c r="A362" s="9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ht="15.75" customHeight="1">
      <c r="A363" s="9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ht="15.75" customHeight="1">
      <c r="A364" s="9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ht="15.75" customHeight="1">
      <c r="A365" s="9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ht="15.75" customHeight="1">
      <c r="A366" s="9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ht="15.75" customHeight="1">
      <c r="A367" s="9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ht="15.75" customHeight="1">
      <c r="A368" s="9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ht="15.75" customHeight="1">
      <c r="A369" s="9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ht="15.75" customHeight="1">
      <c r="A370" s="9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ht="15.75" customHeight="1">
      <c r="A371" s="9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ht="15.75" customHeight="1">
      <c r="A372" s="9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ht="15.75" customHeight="1">
      <c r="A373" s="9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ht="15.75" customHeight="1">
      <c r="A374" s="9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ht="15.75" customHeight="1">
      <c r="A375" s="9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ht="15.75" customHeight="1">
      <c r="A376" s="9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ht="15.75" customHeight="1">
      <c r="A377" s="9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ht="15.75" customHeight="1">
      <c r="A378" s="9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ht="15.75" customHeight="1">
      <c r="A379" s="9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ht="15.75" customHeight="1">
      <c r="A380" s="9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ht="15.75" customHeight="1">
      <c r="A381" s="9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ht="15.75" customHeight="1">
      <c r="A382" s="9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ht="15.75" customHeight="1">
      <c r="A383" s="9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ht="15.75" customHeight="1">
      <c r="A384" s="9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ht="15.75" customHeight="1">
      <c r="A385" s="9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ht="15.75" customHeight="1">
      <c r="A386" s="9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ht="15.75" customHeight="1">
      <c r="A387" s="9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ht="15.75" customHeight="1">
      <c r="A388" s="9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ht="15.75" customHeight="1">
      <c r="A389" s="9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ht="15.75" customHeight="1">
      <c r="A390" s="9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ht="15.75" customHeight="1">
      <c r="A391" s="9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ht="15.75" customHeight="1">
      <c r="A392" s="9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ht="15.75" customHeight="1">
      <c r="A393" s="9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ht="15.75" customHeight="1">
      <c r="A394" s="9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ht="15.75" customHeight="1">
      <c r="A395" s="9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ht="15.75" customHeight="1">
      <c r="A396" s="9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ht="15.75" customHeight="1">
      <c r="A397" s="9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ht="15.75" customHeight="1">
      <c r="A398" s="9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ht="15.75" customHeight="1">
      <c r="A399" s="9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ht="15.75" customHeight="1">
      <c r="A400" s="9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ht="15.75" customHeight="1">
      <c r="A401" s="9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ht="15.75" customHeight="1">
      <c r="A402" s="9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ht="15.75" customHeight="1">
      <c r="A403" s="9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ht="15.75" customHeight="1">
      <c r="A404" s="9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ht="15.75" customHeight="1">
      <c r="A405" s="9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ht="15.75" customHeight="1">
      <c r="A406" s="9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ht="15.75" customHeight="1">
      <c r="A407" s="9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ht="15.75" customHeight="1">
      <c r="A408" s="9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ht="15.75" customHeight="1">
      <c r="A409" s="9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ht="15.75" customHeight="1">
      <c r="A410" s="9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ht="15.75" customHeight="1">
      <c r="A411" s="9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ht="15.75" customHeight="1">
      <c r="A412" s="9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ht="15.75" customHeight="1">
      <c r="A413" s="9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ht="15.75" customHeight="1">
      <c r="A414" s="9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ht="15.75" customHeight="1">
      <c r="A415" s="9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ht="15.75" customHeight="1">
      <c r="A416" s="9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ht="15.75" customHeight="1">
      <c r="A417" s="9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ht="15.75" customHeight="1">
      <c r="A418" s="9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ht="15.75" customHeight="1">
      <c r="A419" s="9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ht="15.75" customHeight="1">
      <c r="A420" s="9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ht="15.75" customHeight="1">
      <c r="A421" s="9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ht="15.75" customHeight="1">
      <c r="A422" s="9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ht="15.75" customHeight="1">
      <c r="A423" s="9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ht="15.75" customHeight="1">
      <c r="A424" s="9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ht="15.75" customHeight="1">
      <c r="A425" s="9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ht="15.75" customHeight="1">
      <c r="A426" s="9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ht="15.75" customHeight="1">
      <c r="A427" s="9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ht="15.75" customHeight="1">
      <c r="A428" s="9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ht="15.75" customHeight="1">
      <c r="A429" s="9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ht="15.75" customHeight="1">
      <c r="A430" s="9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ht="15.75" customHeight="1">
      <c r="A431" s="9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ht="15.75" customHeight="1">
      <c r="A432" s="9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ht="15.75" customHeight="1">
      <c r="A433" s="9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ht="15.75" customHeight="1">
      <c r="A434" s="9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ht="15.75" customHeight="1">
      <c r="A435" s="9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ht="15.75" customHeight="1">
      <c r="A436" s="9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ht="15.75" customHeight="1">
      <c r="A437" s="9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ht="15.75" customHeight="1">
      <c r="A438" s="9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ht="15.75" customHeight="1">
      <c r="A439" s="9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ht="15.75" customHeight="1">
      <c r="A440" s="9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ht="15.75" customHeight="1">
      <c r="A441" s="9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ht="15.75" customHeight="1">
      <c r="A442" s="9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ht="15.75" customHeight="1">
      <c r="A443" s="9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ht="15.75" customHeight="1">
      <c r="A444" s="9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ht="15.75" customHeight="1">
      <c r="A445" s="9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ht="15.75" customHeight="1">
      <c r="A446" s="9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ht="15.75" customHeight="1">
      <c r="A447" s="9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ht="15.75" customHeight="1">
      <c r="A448" s="9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ht="15.75" customHeight="1">
      <c r="A449" s="9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ht="15.75" customHeight="1">
      <c r="A450" s="9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ht="15.75" customHeight="1">
      <c r="A451" s="9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ht="15.75" customHeight="1">
      <c r="A452" s="9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ht="15.75" customHeight="1">
      <c r="A453" s="9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ht="15.75" customHeight="1">
      <c r="A454" s="9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ht="15.75" customHeight="1">
      <c r="A455" s="9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ht="15.75" customHeight="1">
      <c r="A456" s="9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ht="15.75" customHeight="1">
      <c r="A457" s="9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ht="15.75" customHeight="1">
      <c r="A458" s="9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ht="15.75" customHeight="1">
      <c r="A459" s="9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ht="15.75" customHeight="1">
      <c r="A460" s="9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ht="15.75" customHeight="1">
      <c r="A461" s="9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ht="15.75" customHeight="1">
      <c r="A462" s="9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ht="15.75" customHeight="1">
      <c r="A463" s="9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ht="15.75" customHeight="1">
      <c r="A464" s="9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ht="15.75" customHeight="1">
      <c r="A465" s="9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ht="15.75" customHeight="1">
      <c r="A466" s="9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ht="15.75" customHeight="1">
      <c r="A467" s="9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ht="15.75" customHeight="1">
      <c r="A468" s="9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ht="15.75" customHeight="1">
      <c r="A469" s="9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ht="15.75" customHeight="1">
      <c r="A470" s="9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ht="15.75" customHeight="1">
      <c r="A471" s="9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ht="15.75" customHeight="1">
      <c r="A472" s="9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ht="15.75" customHeight="1">
      <c r="A473" s="9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ht="15.75" customHeight="1">
      <c r="A474" s="9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ht="15.75" customHeight="1">
      <c r="A475" s="9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ht="15.75" customHeight="1">
      <c r="A476" s="9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ht="15.75" customHeight="1">
      <c r="A477" s="9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ht="15.75" customHeight="1">
      <c r="A478" s="9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ht="15.75" customHeight="1">
      <c r="A479" s="9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ht="15.75" customHeight="1">
      <c r="A480" s="9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ht="15.75" customHeight="1">
      <c r="A481" s="9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ht="15.75" customHeight="1">
      <c r="A482" s="9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ht="15.75" customHeight="1">
      <c r="A483" s="9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ht="15.75" customHeight="1">
      <c r="A484" s="9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ht="15.75" customHeight="1">
      <c r="A485" s="9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ht="15.75" customHeight="1">
      <c r="A486" s="9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ht="15.75" customHeight="1">
      <c r="A487" s="9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ht="15.75" customHeight="1">
      <c r="A488" s="9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ht="15.75" customHeight="1">
      <c r="A489" s="9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ht="15.75" customHeight="1">
      <c r="A490" s="9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ht="15.75" customHeight="1">
      <c r="A491" s="9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ht="15.75" customHeight="1">
      <c r="A492" s="9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ht="15.75" customHeight="1">
      <c r="A493" s="9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ht="15.75" customHeight="1">
      <c r="A494" s="9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ht="15.75" customHeight="1">
      <c r="A495" s="9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ht="15.75" customHeight="1">
      <c r="A496" s="9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ht="15.75" customHeight="1">
      <c r="A497" s="9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ht="15.75" customHeight="1">
      <c r="A498" s="9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ht="15.75" customHeight="1">
      <c r="A499" s="9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ht="15.75" customHeight="1">
      <c r="A500" s="9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ht="15.75" customHeight="1">
      <c r="A501" s="9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ht="15.75" customHeight="1">
      <c r="A502" s="9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ht="15.75" customHeight="1">
      <c r="A503" s="9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ht="15.75" customHeight="1">
      <c r="A504" s="9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ht="15.75" customHeight="1">
      <c r="A505" s="9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ht="15.75" customHeight="1">
      <c r="A506" s="9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ht="15.75" customHeight="1">
      <c r="A507" s="9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ht="15.75" customHeight="1">
      <c r="A508" s="9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ht="15.75" customHeight="1">
      <c r="A509" s="9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ht="15.75" customHeight="1">
      <c r="A510" s="9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ht="15.75" customHeight="1">
      <c r="A511" s="9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ht="15.75" customHeight="1">
      <c r="A512" s="9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ht="15.75" customHeight="1">
      <c r="A513" s="9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ht="15.75" customHeight="1">
      <c r="A514" s="9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ht="15.75" customHeight="1">
      <c r="A515" s="9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ht="15.75" customHeight="1">
      <c r="A516" s="9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ht="15.75" customHeight="1">
      <c r="A517" s="9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ht="15.75" customHeight="1">
      <c r="A518" s="9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ht="15.75" customHeight="1">
      <c r="A519" s="9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ht="15.75" customHeight="1">
      <c r="A520" s="9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ht="15.75" customHeight="1">
      <c r="A521" s="9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ht="15.75" customHeight="1">
      <c r="A522" s="9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ht="15.75" customHeight="1">
      <c r="A523" s="9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ht="15.75" customHeight="1">
      <c r="A524" s="9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ht="15.75" customHeight="1">
      <c r="A525" s="9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ht="15.75" customHeight="1">
      <c r="A526" s="9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ht="15.75" customHeight="1">
      <c r="A527" s="9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ht="15.75" customHeight="1">
      <c r="A528" s="9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ht="15.75" customHeight="1">
      <c r="A529" s="9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ht="15.75" customHeight="1">
      <c r="A530" s="9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ht="15.75" customHeight="1">
      <c r="A531" s="9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ht="15.75" customHeight="1">
      <c r="A532" s="9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ht="15.75" customHeight="1">
      <c r="A533" s="9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ht="15.75" customHeight="1">
      <c r="A534" s="9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ht="15.75" customHeight="1">
      <c r="A535" s="9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ht="15.75" customHeight="1">
      <c r="A536" s="9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ht="15.75" customHeight="1">
      <c r="A537" s="9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ht="15.75" customHeight="1">
      <c r="A538" s="9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ht="15.75" customHeight="1">
      <c r="A539" s="9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ht="15.75" customHeight="1">
      <c r="A540" s="9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ht="15.75" customHeight="1">
      <c r="A541" s="9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ht="15.75" customHeight="1">
      <c r="A542" s="9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ht="15.75" customHeight="1">
      <c r="A543" s="9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ht="15.75" customHeight="1">
      <c r="A544" s="9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ht="15.75" customHeight="1">
      <c r="A545" s="9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ht="15.75" customHeight="1">
      <c r="A546" s="9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ht="15.75" customHeight="1">
      <c r="A547" s="9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ht="15.75" customHeight="1">
      <c r="A548" s="9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ht="15.75" customHeight="1">
      <c r="A549" s="9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ht="15.75" customHeight="1">
      <c r="A550" s="9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ht="15.75" customHeight="1">
      <c r="A551" s="9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ht="15.75" customHeight="1">
      <c r="A552" s="9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ht="15.75" customHeight="1">
      <c r="A553" s="9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ht="15.75" customHeight="1">
      <c r="A554" s="9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ht="15.75" customHeight="1">
      <c r="A555" s="9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ht="15.75" customHeight="1">
      <c r="A556" s="9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ht="15.75" customHeight="1">
      <c r="A557" s="9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ht="15.75" customHeight="1">
      <c r="A558" s="9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ht="15.75" customHeight="1">
      <c r="A559" s="9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ht="15.75" customHeight="1">
      <c r="A560" s="9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ht="15.75" customHeight="1">
      <c r="A561" s="9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ht="15.75" customHeight="1">
      <c r="A562" s="9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ht="15.75" customHeight="1">
      <c r="A563" s="9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ht="15.75" customHeight="1">
      <c r="A564" s="9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ht="15.75" customHeight="1">
      <c r="A565" s="9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ht="15.75" customHeight="1">
      <c r="A566" s="9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ht="15.75" customHeight="1">
      <c r="A567" s="9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ht="15.75" customHeight="1">
      <c r="A568" s="9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ht="15.75" customHeight="1">
      <c r="A569" s="9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ht="15.75" customHeight="1">
      <c r="A570" s="9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ht="15.75" customHeight="1">
      <c r="A571" s="9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ht="15.75" customHeight="1">
      <c r="A572" s="9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ht="15.75" customHeight="1">
      <c r="A573" s="9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ht="15.75" customHeight="1">
      <c r="A574" s="9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ht="15.75" customHeight="1">
      <c r="A575" s="9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ht="15.75" customHeight="1">
      <c r="A576" s="9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ht="15.75" customHeight="1">
      <c r="A577" s="9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ht="15.75" customHeight="1">
      <c r="A578" s="9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ht="15.75" customHeight="1">
      <c r="A579" s="9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ht="15.75" customHeight="1">
      <c r="A580" s="9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ht="15.75" customHeight="1">
      <c r="A581" s="9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ht="15.75" customHeight="1">
      <c r="A582" s="9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ht="15.75" customHeight="1">
      <c r="A583" s="9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ht="15.75" customHeight="1">
      <c r="A584" s="9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ht="15.75" customHeight="1">
      <c r="A585" s="9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ht="15.75" customHeight="1">
      <c r="A586" s="9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ht="15.75" customHeight="1">
      <c r="A587" s="9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ht="15.75" customHeight="1">
      <c r="A588" s="9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ht="15.75" customHeight="1">
      <c r="A589" s="9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ht="15.75" customHeight="1">
      <c r="A590" s="9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ht="15.75" customHeight="1">
      <c r="A591" s="9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ht="15.75" customHeight="1">
      <c r="A592" s="9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ht="15.75" customHeight="1">
      <c r="A593" s="9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ht="15.75" customHeight="1">
      <c r="A594" s="9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ht="15.75" customHeight="1">
      <c r="A595" s="9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ht="15.75" customHeight="1">
      <c r="A596" s="9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ht="15.75" customHeight="1">
      <c r="A597" s="9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ht="15.75" customHeight="1">
      <c r="A598" s="9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ht="15.75" customHeight="1">
      <c r="A599" s="9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ht="15.75" customHeight="1">
      <c r="A600" s="9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ht="15.75" customHeight="1">
      <c r="A601" s="9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ht="15.75" customHeight="1">
      <c r="A602" s="9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ht="15.75" customHeight="1">
      <c r="A603" s="9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ht="15.75" customHeight="1">
      <c r="A604" s="9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ht="15.75" customHeight="1">
      <c r="A605" s="9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ht="15.75" customHeight="1">
      <c r="A606" s="9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ht="15.75" customHeight="1">
      <c r="A607" s="9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ht="15.75" customHeight="1">
      <c r="A608" s="9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ht="15.75" customHeight="1">
      <c r="A609" s="9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ht="15.75" customHeight="1">
      <c r="A610" s="9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ht="15.75" customHeight="1">
      <c r="A611" s="9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ht="15.75" customHeight="1">
      <c r="A612" s="9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ht="15.75" customHeight="1">
      <c r="A613" s="9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ht="15.75" customHeight="1">
      <c r="A614" s="9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ht="15.75" customHeight="1">
      <c r="A615" s="9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ht="15.75" customHeight="1">
      <c r="A616" s="9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ht="15.75" customHeight="1">
      <c r="A617" s="9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ht="15.75" customHeight="1">
      <c r="A618" s="9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ht="15.75" customHeight="1">
      <c r="A619" s="9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ht="15.75" customHeight="1">
      <c r="A620" s="9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ht="15.75" customHeight="1">
      <c r="A621" s="9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ht="15.75" customHeight="1">
      <c r="A622" s="9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ht="15.75" customHeight="1">
      <c r="A623" s="9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ht="15.75" customHeight="1">
      <c r="A624" s="9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ht="15.75" customHeight="1">
      <c r="A625" s="9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ht="15.75" customHeight="1">
      <c r="A626" s="9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ht="15.75" customHeight="1">
      <c r="A627" s="9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ht="15.75" customHeight="1">
      <c r="A628" s="9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ht="15.75" customHeight="1">
      <c r="A629" s="9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ht="15.75" customHeight="1">
      <c r="A630" s="9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ht="15.75" customHeight="1">
      <c r="A631" s="9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ht="15.75" customHeight="1">
      <c r="A632" s="9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ht="15.75" customHeight="1">
      <c r="A633" s="9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ht="15.75" customHeight="1">
      <c r="A634" s="9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ht="15.75" customHeight="1">
      <c r="A635" s="9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ht="15.75" customHeight="1">
      <c r="A636" s="9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ht="15.75" customHeight="1">
      <c r="A637" s="9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ht="15.75" customHeight="1">
      <c r="A638" s="9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ht="15.75" customHeight="1">
      <c r="A639" s="9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ht="15.75" customHeight="1">
      <c r="A640" s="9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ht="15.75" customHeight="1">
      <c r="A641" s="9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ht="15.75" customHeight="1">
      <c r="A642" s="9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ht="15.75" customHeight="1">
      <c r="A643" s="9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ht="15.75" customHeight="1">
      <c r="A644" s="9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ht="15.75" customHeight="1">
      <c r="A645" s="9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ht="15.75" customHeight="1">
      <c r="A646" s="9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ht="15.75" customHeight="1">
      <c r="A647" s="9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ht="15.75" customHeight="1">
      <c r="A648" s="9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ht="15.75" customHeight="1">
      <c r="A649" s="9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ht="15.75" customHeight="1">
      <c r="A650" s="9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ht="15.75" customHeight="1">
      <c r="A651" s="9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ht="15.75" customHeight="1">
      <c r="A652" s="9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ht="15.75" customHeight="1">
      <c r="A653" s="9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ht="15.75" customHeight="1">
      <c r="A654" s="9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ht="15.75" customHeight="1">
      <c r="A655" s="9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ht="15.75" customHeight="1">
      <c r="A656" s="9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ht="15.75" customHeight="1">
      <c r="A657" s="9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ht="15.75" customHeight="1">
      <c r="A658" s="9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ht="15.75" customHeight="1">
      <c r="A659" s="9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ht="15.75" customHeight="1">
      <c r="A660" s="9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ht="15.75" customHeight="1">
      <c r="A661" s="9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ht="15.75" customHeight="1">
      <c r="A662" s="9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ht="15.75" customHeight="1">
      <c r="A663" s="9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ht="15.75" customHeight="1">
      <c r="A664" s="9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ht="15.75" customHeight="1">
      <c r="A665" s="9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ht="15.75" customHeight="1">
      <c r="A666" s="9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ht="15.75" customHeight="1">
      <c r="A667" s="9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ht="15.75" customHeight="1">
      <c r="A668" s="9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ht="15.75" customHeight="1">
      <c r="A669" s="9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ht="15.75" customHeight="1">
      <c r="A670" s="9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ht="15.75" customHeight="1">
      <c r="A671" s="9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ht="15.75" customHeight="1">
      <c r="A672" s="9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ht="15.75" customHeight="1">
      <c r="A673" s="9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ht="15.75" customHeight="1">
      <c r="A674" s="9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ht="15.75" customHeight="1">
      <c r="A675" s="9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ht="15.75" customHeight="1">
      <c r="A676" s="9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ht="15.75" customHeight="1">
      <c r="A677" s="9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ht="15.75" customHeight="1">
      <c r="A678" s="9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ht="15.75" customHeight="1">
      <c r="A679" s="9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ht="15.75" customHeight="1">
      <c r="A680" s="9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ht="15.75" customHeight="1">
      <c r="A681" s="9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ht="15.75" customHeight="1">
      <c r="A682" s="9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ht="15.75" customHeight="1">
      <c r="A683" s="9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ht="15.75" customHeight="1">
      <c r="A684" s="9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ht="15.75" customHeight="1">
      <c r="A685" s="9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ht="15.75" customHeight="1">
      <c r="A686" s="9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ht="15.75" customHeight="1">
      <c r="A687" s="9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ht="15.75" customHeight="1">
      <c r="A688" s="9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ht="15.75" customHeight="1">
      <c r="A689" s="9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ht="15.75" customHeight="1">
      <c r="A690" s="9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ht="15.75" customHeight="1">
      <c r="A691" s="9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ht="15.75" customHeight="1">
      <c r="A692" s="9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ht="15.75" customHeight="1">
      <c r="A693" s="9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ht="15.75" customHeight="1">
      <c r="A694" s="9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ht="15.75" customHeight="1">
      <c r="A695" s="9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ht="15.75" customHeight="1">
      <c r="A696" s="9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ht="15.75" customHeight="1">
      <c r="A697" s="9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ht="15.75" customHeight="1">
      <c r="A698" s="9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ht="15.75" customHeight="1">
      <c r="A699" s="9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ht="15.75" customHeight="1">
      <c r="A700" s="9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ht="15.75" customHeight="1">
      <c r="A701" s="9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ht="15.75" customHeight="1">
      <c r="A702" s="9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ht="15.75" customHeight="1">
      <c r="A703" s="9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ht="15.75" customHeight="1">
      <c r="A704" s="9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ht="15.75" customHeight="1">
      <c r="A705" s="9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ht="15.75" customHeight="1">
      <c r="A706" s="9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ht="15.75" customHeight="1">
      <c r="A707" s="9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ht="15.75" customHeight="1">
      <c r="A708" s="9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ht="15.75" customHeight="1">
      <c r="A709" s="9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ht="15.75" customHeight="1">
      <c r="A710" s="9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ht="15.75" customHeight="1">
      <c r="A711" s="9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ht="15.75" customHeight="1">
      <c r="A712" s="9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ht="15.75" customHeight="1">
      <c r="A713" s="9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ht="15.75" customHeight="1">
      <c r="A714" s="9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ht="15.75" customHeight="1">
      <c r="A715" s="9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ht="15.75" customHeight="1">
      <c r="A716" s="9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ht="15.75" customHeight="1">
      <c r="A717" s="9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ht="15.75" customHeight="1">
      <c r="A718" s="9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ht="15.75" customHeight="1">
      <c r="A719" s="9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ht="15.75" customHeight="1">
      <c r="A720" s="9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ht="15.75" customHeight="1">
      <c r="A721" s="9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ht="15.75" customHeight="1">
      <c r="A722" s="9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ht="15.75" customHeight="1">
      <c r="A723" s="9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ht="15.75" customHeight="1">
      <c r="A724" s="9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ht="15.75" customHeight="1">
      <c r="A725" s="9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ht="15.75" customHeight="1">
      <c r="A726" s="9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ht="15.75" customHeight="1">
      <c r="A727" s="9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ht="15.75" customHeight="1">
      <c r="A728" s="9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ht="15.75" customHeight="1">
      <c r="A729" s="9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ht="15.75" customHeight="1">
      <c r="A730" s="9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ht="15.75" customHeight="1">
      <c r="A731" s="9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ht="15.75" customHeight="1">
      <c r="A732" s="9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ht="15.75" customHeight="1">
      <c r="A733" s="9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ht="15.75" customHeight="1">
      <c r="A734" s="9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ht="15.75" customHeight="1">
      <c r="A735" s="9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ht="15.75" customHeight="1">
      <c r="A736" s="9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ht="15.75" customHeight="1">
      <c r="A737" s="9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ht="15.75" customHeight="1">
      <c r="A738" s="9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ht="15.75" customHeight="1">
      <c r="A739" s="9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ht="15.75" customHeight="1">
      <c r="A740" s="9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ht="15.75" customHeight="1">
      <c r="A741" s="9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ht="15.75" customHeight="1">
      <c r="A742" s="9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ht="15.75" customHeight="1">
      <c r="A743" s="9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ht="15.75" customHeight="1">
      <c r="A744" s="9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ht="15.75" customHeight="1">
      <c r="A745" s="9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ht="15.75" customHeight="1">
      <c r="A746" s="9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ht="15.75" customHeight="1">
      <c r="A747" s="9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ht="15.75" customHeight="1">
      <c r="A748" s="9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ht="15.75" customHeight="1">
      <c r="A749" s="9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ht="15.75" customHeight="1">
      <c r="A750" s="9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ht="15.75" customHeight="1">
      <c r="A751" s="9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ht="15.75" customHeight="1">
      <c r="A752" s="9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ht="15.75" customHeight="1">
      <c r="A753" s="9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ht="15.75" customHeight="1">
      <c r="A754" s="9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ht="15.75" customHeight="1">
      <c r="A755" s="9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ht="15.75" customHeight="1">
      <c r="A756" s="9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ht="15.75" customHeight="1">
      <c r="A757" s="9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ht="15.75" customHeight="1">
      <c r="A758" s="9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ht="15.75" customHeight="1">
      <c r="A759" s="9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ht="15.75" customHeight="1">
      <c r="A760" s="9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ht="15.75" customHeight="1">
      <c r="A761" s="9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ht="15.75" customHeight="1">
      <c r="A762" s="9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ht="15.75" customHeight="1">
      <c r="A763" s="9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ht="15.75" customHeight="1">
      <c r="A764" s="9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ht="15.75" customHeight="1">
      <c r="A765" s="9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ht="15.75" customHeight="1">
      <c r="A766" s="9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ht="15.75" customHeight="1">
      <c r="A767" s="9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ht="15.75" customHeight="1">
      <c r="A768" s="9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ht="15.75" customHeight="1">
      <c r="A769" s="9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ht="15.75" customHeight="1">
      <c r="A770" s="9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ht="15.75" customHeight="1">
      <c r="A771" s="9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ht="15.75" customHeight="1">
      <c r="A772" s="9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ht="15.75" customHeight="1">
      <c r="A773" s="9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ht="15.75" customHeight="1">
      <c r="A774" s="9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ht="15.75" customHeight="1">
      <c r="A775" s="9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ht="15.75" customHeight="1">
      <c r="A776" s="9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ht="15.75" customHeight="1">
      <c r="A777" s="9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ht="15.75" customHeight="1">
      <c r="A778" s="9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ht="15.75" customHeight="1">
      <c r="A779" s="9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ht="15.75" customHeight="1">
      <c r="A780" s="9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ht="15.75" customHeight="1">
      <c r="A781" s="9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ht="15.75" customHeight="1">
      <c r="A782" s="9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ht="15.75" customHeight="1">
      <c r="A783" s="9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ht="15.75" customHeight="1">
      <c r="A784" s="9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ht="15.75" customHeight="1">
      <c r="A785" s="9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ht="15.75" customHeight="1">
      <c r="A786" s="9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ht="15.75" customHeight="1">
      <c r="A787" s="9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ht="15.75" customHeight="1">
      <c r="A788" s="9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ht="15.75" customHeight="1">
      <c r="A789" s="9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ht="15.75" customHeight="1">
      <c r="A790" s="9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ht="15.75" customHeight="1">
      <c r="A791" s="9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ht="15.75" customHeight="1">
      <c r="A792" s="9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ht="15.75" customHeight="1">
      <c r="A793" s="9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ht="15.75" customHeight="1">
      <c r="A794" s="9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ht="15.75" customHeight="1">
      <c r="A795" s="9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ht="15.75" customHeight="1">
      <c r="A796" s="9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ht="15.75" customHeight="1">
      <c r="A797" s="9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ht="15.75" customHeight="1">
      <c r="A798" s="9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ht="15.75" customHeight="1">
      <c r="A799" s="9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ht="15.75" customHeight="1">
      <c r="A800" s="9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ht="15.75" customHeight="1">
      <c r="A801" s="9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ht="15.75" customHeight="1">
      <c r="A802" s="9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ht="15.75" customHeight="1">
      <c r="A803" s="9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ht="15.75" customHeight="1">
      <c r="A804" s="9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ht="15.75" customHeight="1">
      <c r="A805" s="9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ht="15.75" customHeight="1">
      <c r="A806" s="9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ht="15.75" customHeight="1">
      <c r="A807" s="9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ht="15.75" customHeight="1">
      <c r="A808" s="9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ht="15.75" customHeight="1">
      <c r="A809" s="9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ht="15.75" customHeight="1">
      <c r="A810" s="9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ht="15.75" customHeight="1">
      <c r="A811" s="9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ht="15.75" customHeight="1">
      <c r="A812" s="9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ht="15.75" customHeight="1">
      <c r="A813" s="9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ht="15.75" customHeight="1">
      <c r="A814" s="9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ht="15.75" customHeight="1">
      <c r="A815" s="9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ht="15.75" customHeight="1">
      <c r="A816" s="9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ht="15.75" customHeight="1">
      <c r="A817" s="9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ht="15.75" customHeight="1">
      <c r="A818" s="9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ht="15.75" customHeight="1">
      <c r="A819" s="9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ht="15.75" customHeight="1">
      <c r="A820" s="9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ht="15.75" customHeight="1">
      <c r="A821" s="9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ht="15.75" customHeight="1">
      <c r="A822" s="9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ht="15.75" customHeight="1">
      <c r="A823" s="9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ht="15.75" customHeight="1">
      <c r="A824" s="9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ht="15.75" customHeight="1">
      <c r="A825" s="9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ht="15.75" customHeight="1">
      <c r="A826" s="9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ht="15.75" customHeight="1">
      <c r="A827" s="9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ht="15.75" customHeight="1">
      <c r="A828" s="9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ht="15.75" customHeight="1">
      <c r="A829" s="9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ht="15.75" customHeight="1">
      <c r="A830" s="9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ht="15.75" customHeight="1">
      <c r="A831" s="9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ht="15.75" customHeight="1">
      <c r="A832" s="9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ht="15.75" customHeight="1">
      <c r="A833" s="9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ht="15.75" customHeight="1">
      <c r="A834" s="9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ht="15.75" customHeight="1">
      <c r="A835" s="9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ht="15.75" customHeight="1">
      <c r="A836" s="9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ht="15.75" customHeight="1">
      <c r="A837" s="9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ht="15.75" customHeight="1">
      <c r="A838" s="9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ht="15.75" customHeight="1">
      <c r="A839" s="9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ht="15.75" customHeight="1">
      <c r="A840" s="9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ht="15.75" customHeight="1">
      <c r="A841" s="9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ht="15.75" customHeight="1">
      <c r="A842" s="9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ht="15.75" customHeight="1">
      <c r="A843" s="9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ht="15.75" customHeight="1">
      <c r="A844" s="9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ht="15.75" customHeight="1">
      <c r="A845" s="9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ht="15.75" customHeight="1">
      <c r="A846" s="9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ht="15.75" customHeight="1">
      <c r="A847" s="9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ht="15.75" customHeight="1">
      <c r="A848" s="9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ht="15.75" customHeight="1">
      <c r="A849" s="9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ht="15.75" customHeight="1">
      <c r="A850" s="9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ht="15.75" customHeight="1">
      <c r="A851" s="9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ht="15.75" customHeight="1">
      <c r="A852" s="9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ht="15.75" customHeight="1">
      <c r="A853" s="9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ht="15.75" customHeight="1">
      <c r="A854" s="9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ht="15.75" customHeight="1">
      <c r="A855" s="9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ht="15.75" customHeight="1">
      <c r="A856" s="9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ht="15.75" customHeight="1">
      <c r="A857" s="9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ht="15.75" customHeight="1">
      <c r="A858" s="9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ht="15.75" customHeight="1">
      <c r="A859" s="9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ht="15.75" customHeight="1">
      <c r="A860" s="9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ht="15.75" customHeight="1">
      <c r="A861" s="9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ht="15.75" customHeight="1">
      <c r="A862" s="9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ht="15.75" customHeight="1">
      <c r="A863" s="9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ht="15.75" customHeight="1">
      <c r="A864" s="9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ht="15.75" customHeight="1">
      <c r="A865" s="9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ht="15.75" customHeight="1">
      <c r="A866" s="9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ht="15.75" customHeight="1">
      <c r="A867" s="9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ht="15.75" customHeight="1">
      <c r="A868" s="9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ht="15.75" customHeight="1">
      <c r="A869" s="9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ht="15.75" customHeight="1">
      <c r="A870" s="9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ht="15.75" customHeight="1">
      <c r="A871" s="9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ht="15.75" customHeight="1">
      <c r="A872" s="9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ht="15.75" customHeight="1">
      <c r="A873" s="9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ht="15.75" customHeight="1">
      <c r="A874" s="9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ht="15.75" customHeight="1">
      <c r="A875" s="9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ht="15.75" customHeight="1">
      <c r="A876" s="9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ht="15.75" customHeight="1">
      <c r="A877" s="9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ht="15.75" customHeight="1">
      <c r="A878" s="9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ht="15.75" customHeight="1">
      <c r="A879" s="9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ht="15.75" customHeight="1">
      <c r="A880" s="9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ht="15.75" customHeight="1">
      <c r="A881" s="9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ht="15.75" customHeight="1">
      <c r="A882" s="9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ht="15.75" customHeight="1">
      <c r="A883" s="9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ht="15.75" customHeight="1">
      <c r="A884" s="9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ht="15.75" customHeight="1">
      <c r="A885" s="9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ht="15.75" customHeight="1">
      <c r="A886" s="9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ht="15.75" customHeight="1">
      <c r="A887" s="9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ht="15.75" customHeight="1">
      <c r="A888" s="9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ht="15.75" customHeight="1">
      <c r="A889" s="9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ht="15.75" customHeight="1">
      <c r="A890" s="9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ht="15.75" customHeight="1">
      <c r="A891" s="9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ht="15.75" customHeight="1">
      <c r="A892" s="9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ht="15.75" customHeight="1">
      <c r="A893" s="9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ht="15.75" customHeight="1">
      <c r="A894" s="9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ht="15.75" customHeight="1">
      <c r="A895" s="9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ht="15.75" customHeight="1">
      <c r="A896" s="9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ht="15.75" customHeight="1">
      <c r="A897" s="9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ht="15.75" customHeight="1">
      <c r="A898" s="9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ht="15.75" customHeight="1">
      <c r="A899" s="9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ht="15.75" customHeight="1">
      <c r="A900" s="9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ht="15.75" customHeight="1">
      <c r="A901" s="9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ht="15.75" customHeight="1">
      <c r="A902" s="9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ht="15.75" customHeight="1">
      <c r="A903" s="9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ht="15.75" customHeight="1">
      <c r="A904" s="9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ht="15.75" customHeight="1">
      <c r="A905" s="9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ht="15.75" customHeight="1">
      <c r="A906" s="9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ht="15.75" customHeight="1">
      <c r="A907" s="9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ht="15.75" customHeight="1">
      <c r="A908" s="9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ht="15.75" customHeight="1">
      <c r="A909" s="9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ht="15.75" customHeight="1">
      <c r="A910" s="9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ht="15.75" customHeight="1">
      <c r="A911" s="9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ht="15.75" customHeight="1">
      <c r="A912" s="9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ht="15.75" customHeight="1">
      <c r="A913" s="9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ht="15.75" customHeight="1">
      <c r="A914" s="9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ht="15.75" customHeight="1">
      <c r="A915" s="9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ht="15.75" customHeight="1">
      <c r="A916" s="9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ht="15.75" customHeight="1">
      <c r="A917" s="9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ht="15.75" customHeight="1">
      <c r="A918" s="9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ht="15.75" customHeight="1">
      <c r="A919" s="9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ht="15.75" customHeight="1">
      <c r="A920" s="9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ht="15.75" customHeight="1">
      <c r="A921" s="9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ht="15.75" customHeight="1">
      <c r="A922" s="9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ht="15.75" customHeight="1">
      <c r="A923" s="9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ht="15.75" customHeight="1">
      <c r="A924" s="9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ht="15.75" customHeight="1">
      <c r="A925" s="9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ht="15.75" customHeight="1">
      <c r="A926" s="9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ht="15.75" customHeight="1">
      <c r="A927" s="9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ht="15.75" customHeight="1">
      <c r="A928" s="9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ht="15.75" customHeight="1">
      <c r="A929" s="9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ht="15.75" customHeight="1">
      <c r="A930" s="9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ht="15.75" customHeight="1">
      <c r="A931" s="9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ht="15.75" customHeight="1">
      <c r="A932" s="9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ht="15.75" customHeight="1">
      <c r="A933" s="9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ht="15.75" customHeight="1">
      <c r="A934" s="9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ht="15.75" customHeight="1">
      <c r="A935" s="9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ht="15.75" customHeight="1">
      <c r="A936" s="9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ht="15.75" customHeight="1">
      <c r="A937" s="9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ht="15.75" customHeight="1">
      <c r="A938" s="9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ht="15.75" customHeight="1">
      <c r="A939" s="9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ht="15.75" customHeight="1">
      <c r="A940" s="9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ht="15.75" customHeight="1">
      <c r="A941" s="9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ht="15.75" customHeight="1">
      <c r="A942" s="9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ht="15.75" customHeight="1">
      <c r="A943" s="9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ht="15.75" customHeight="1">
      <c r="A944" s="9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ht="15.75" customHeight="1">
      <c r="A945" s="9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ht="15.75" customHeight="1">
      <c r="A946" s="9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ht="15.75" customHeight="1">
      <c r="A947" s="9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ht="15.75" customHeight="1">
      <c r="A948" s="9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ht="15.75" customHeight="1">
      <c r="A949" s="9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ht="15.75" customHeight="1">
      <c r="A950" s="9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ht="15.75" customHeight="1">
      <c r="A951" s="9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ht="15.75" customHeight="1">
      <c r="A952" s="9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ht="15.75" customHeight="1">
      <c r="A953" s="9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ht="15.75" customHeight="1">
      <c r="A954" s="9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ht="15.75" customHeight="1">
      <c r="A955" s="9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ht="15.75" customHeight="1">
      <c r="A956" s="9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ht="15.75" customHeight="1">
      <c r="A957" s="9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ht="15.75" customHeight="1">
      <c r="A958" s="9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ht="15.75" customHeight="1">
      <c r="A959" s="9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ht="15.75" customHeight="1">
      <c r="A960" s="9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ht="15.75" customHeight="1">
      <c r="A961" s="9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ht="15.75" customHeight="1">
      <c r="A962" s="9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ht="15.75" customHeight="1">
      <c r="A963" s="9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ht="15.75" customHeight="1">
      <c r="A964" s="9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ht="15.75" customHeight="1">
      <c r="A965" s="9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ht="15.75" customHeight="1">
      <c r="A966" s="9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ht="15.75" customHeight="1">
      <c r="A967" s="9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ht="15.75" customHeight="1">
      <c r="A968" s="9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ht="15.75" customHeight="1">
      <c r="A969" s="9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ht="15.75" customHeight="1">
      <c r="A970" s="9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ht="15.75" customHeight="1">
      <c r="A971" s="9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ht="15.75" customHeight="1">
      <c r="A972" s="9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ht="15.75" customHeight="1">
      <c r="A973" s="9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ht="15.75" customHeight="1">
      <c r="A974" s="9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ht="15.75" customHeight="1">
      <c r="A975" s="9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ht="15.75" customHeight="1">
      <c r="A976" s="9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ht="15.75" customHeight="1">
      <c r="A977" s="9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ht="15.75" customHeight="1">
      <c r="A978" s="9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ht="15.75" customHeight="1">
      <c r="A979" s="9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ht="15.75" customHeight="1">
      <c r="A980" s="9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ht="15.75" customHeight="1">
      <c r="A981" s="9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ht="15.75" customHeight="1">
      <c r="A982" s="9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ht="15.75" customHeight="1">
      <c r="A983" s="9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ht="15.75" customHeight="1">
      <c r="A984" s="9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ht="15.75" customHeight="1">
      <c r="A985" s="9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ht="15.75" customHeight="1">
      <c r="A986" s="9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ht="15.75" customHeight="1">
      <c r="A987" s="9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ht="15.75" customHeight="1">
      <c r="A988" s="9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ht="15.75" customHeight="1">
      <c r="A989" s="9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ht="15.75" customHeight="1">
      <c r="A990" s="9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ht="15.75" customHeight="1">
      <c r="A991" s="9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ht="15.75" customHeight="1">
      <c r="A992" s="9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ht="15.75" customHeight="1">
      <c r="A993" s="9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ht="15.75" customHeight="1">
      <c r="A994" s="9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ht="15.75" customHeight="1">
      <c r="A995" s="9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ht="15.75" customHeight="1">
      <c r="A996" s="9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ht="15.75" customHeight="1">
      <c r="A997" s="9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ht="15.75" customHeight="1">
      <c r="A998" s="9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ht="15.75" customHeight="1">
      <c r="A999" s="9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ht="15.75" customHeight="1">
      <c r="A1000" s="9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39">
    <mergeCell ref="R7:T9"/>
    <mergeCell ref="U7:X7"/>
    <mergeCell ref="U8:X8"/>
    <mergeCell ref="U9:X9"/>
    <mergeCell ref="Y7:AA7"/>
    <mergeCell ref="Y8:AA8"/>
    <mergeCell ref="J9:M10"/>
    <mergeCell ref="N9:O10"/>
    <mergeCell ref="Y9:AA9"/>
    <mergeCell ref="R10:T12"/>
    <mergeCell ref="U10:X10"/>
    <mergeCell ref="Y10:AA10"/>
    <mergeCell ref="U11:X11"/>
    <mergeCell ref="Y11:AA11"/>
    <mergeCell ref="U12:X12"/>
    <mergeCell ref="Y12:AA12"/>
    <mergeCell ref="J11:M12"/>
    <mergeCell ref="N11:O12"/>
    <mergeCell ref="A18:A41"/>
    <mergeCell ref="B18:B23"/>
    <mergeCell ref="B24:B29"/>
    <mergeCell ref="B30:B35"/>
    <mergeCell ref="B36:B41"/>
    <mergeCell ref="A1:AA6"/>
    <mergeCell ref="A7:B12"/>
    <mergeCell ref="C7:C12"/>
    <mergeCell ref="F7:G13"/>
    <mergeCell ref="H7:I13"/>
    <mergeCell ref="J7:M8"/>
    <mergeCell ref="N7:O8"/>
    <mergeCell ref="A16:B16"/>
    <mergeCell ref="A17:AA17"/>
    <mergeCell ref="J13:M13"/>
    <mergeCell ref="N13:O13"/>
    <mergeCell ref="R14:U14"/>
    <mergeCell ref="V14:X14"/>
    <mergeCell ref="Y14:Z14"/>
    <mergeCell ref="AE16:AI16"/>
    <mergeCell ref="AK16:AO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20.25"/>
    <col customWidth="1" min="3" max="3" width="14.88"/>
    <col customWidth="1" min="4" max="18" width="7.5"/>
    <col customWidth="1" min="19" max="19" width="8.5"/>
    <col customWidth="1" min="20" max="22" width="7.5"/>
    <col customWidth="1" min="23" max="23" width="8.25"/>
    <col customWidth="1" min="24" max="26" width="7.5"/>
    <col customWidth="1" min="27" max="27" width="8.5"/>
    <col customWidth="1" min="28" max="28" width="11.0"/>
    <col customWidth="1" min="29" max="29" width="7.88"/>
    <col customWidth="1" min="30" max="30" width="0.88"/>
    <col customWidth="1" min="31" max="31" width="15.5"/>
    <col customWidth="1" min="32" max="41" width="7.88"/>
  </cols>
  <sheetData>
    <row r="1" ht="15.0" customHeight="1">
      <c r="A1" s="95" t="s">
        <v>51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.0" customHeight="1"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15.0" customHeight="1"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15.0" customHeight="1"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ht="15.0" customHeight="1"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ht="15.0" customHeight="1"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ht="15.75" customHeight="1">
      <c r="A7" s="96" t="s">
        <v>1</v>
      </c>
      <c r="B7" s="4"/>
      <c r="C7" s="113">
        <v>120.0</v>
      </c>
      <c r="D7" s="6"/>
      <c r="E7" s="6"/>
      <c r="F7" s="7" t="s">
        <v>2</v>
      </c>
      <c r="G7" s="4"/>
      <c r="H7" s="9" t="str">
        <f>A18</f>
        <v>IELTS</v>
      </c>
      <c r="I7" s="10"/>
      <c r="J7" s="114" t="str">
        <f>B18</f>
        <v>IELTS INTENSIVE</v>
      </c>
      <c r="K7" s="115"/>
      <c r="L7" s="115"/>
      <c r="M7" s="116"/>
      <c r="N7" s="117">
        <v>1120.0</v>
      </c>
      <c r="O7" s="118"/>
      <c r="P7" s="119"/>
      <c r="Q7" s="6"/>
      <c r="R7" s="14" t="s">
        <v>3</v>
      </c>
      <c r="S7" s="12"/>
      <c r="T7" s="4"/>
      <c r="U7" s="15" t="s">
        <v>4</v>
      </c>
      <c r="V7" s="16"/>
      <c r="W7" s="16"/>
      <c r="X7" s="17"/>
      <c r="Y7" s="18">
        <v>1400.0</v>
      </c>
      <c r="Z7" s="16"/>
      <c r="AA7" s="19"/>
      <c r="AB7" s="20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ht="15.75" customHeight="1">
      <c r="A8" s="21"/>
      <c r="B8" s="22"/>
      <c r="C8" s="23"/>
      <c r="D8" s="24"/>
      <c r="E8" s="24"/>
      <c r="F8" s="25"/>
      <c r="G8" s="22"/>
      <c r="H8" s="25"/>
      <c r="I8" s="22"/>
      <c r="J8" s="49"/>
      <c r="K8" s="38"/>
      <c r="L8" s="38"/>
      <c r="M8" s="39"/>
      <c r="N8" s="27"/>
      <c r="O8" s="103"/>
      <c r="P8" s="120"/>
      <c r="Q8" s="24"/>
      <c r="R8" s="25"/>
      <c r="T8" s="22"/>
      <c r="U8" s="30" t="s">
        <v>5</v>
      </c>
      <c r="V8" s="31"/>
      <c r="W8" s="31"/>
      <c r="X8" s="32"/>
      <c r="Y8" s="33">
        <v>970.0</v>
      </c>
      <c r="Z8" s="31"/>
      <c r="AA8" s="34"/>
      <c r="AB8" s="20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ht="15.75" customHeight="1">
      <c r="A9" s="21"/>
      <c r="B9" s="22"/>
      <c r="C9" s="23"/>
      <c r="D9" s="24"/>
      <c r="E9" s="24"/>
      <c r="F9" s="25"/>
      <c r="G9" s="22"/>
      <c r="H9" s="25"/>
      <c r="I9" s="22"/>
      <c r="J9" s="121" t="str">
        <f>B24</f>
        <v>IELTS GUARANTEE 12 WEEKS</v>
      </c>
      <c r="K9" s="42"/>
      <c r="L9" s="42"/>
      <c r="M9" s="122"/>
      <c r="N9" s="123">
        <v>1350.0</v>
      </c>
      <c r="O9" s="102"/>
      <c r="P9" s="124"/>
      <c r="Q9" s="24"/>
      <c r="R9" s="37"/>
      <c r="S9" s="38"/>
      <c r="T9" s="39"/>
      <c r="U9" s="30" t="s">
        <v>6</v>
      </c>
      <c r="V9" s="31"/>
      <c r="W9" s="31"/>
      <c r="X9" s="32"/>
      <c r="Y9" s="33">
        <v>810.0</v>
      </c>
      <c r="Z9" s="31"/>
      <c r="AA9" s="34"/>
      <c r="AB9" s="20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ht="15.75" customHeight="1">
      <c r="A10" s="21"/>
      <c r="B10" s="22"/>
      <c r="C10" s="23"/>
      <c r="D10" s="24"/>
      <c r="E10" s="24"/>
      <c r="F10" s="25"/>
      <c r="G10" s="22"/>
      <c r="H10" s="25"/>
      <c r="I10" s="22"/>
      <c r="J10" s="49"/>
      <c r="K10" s="38"/>
      <c r="L10" s="38"/>
      <c r="M10" s="52"/>
      <c r="N10" s="37"/>
      <c r="O10" s="125"/>
      <c r="P10" s="40"/>
      <c r="Q10" s="24"/>
      <c r="R10" s="41" t="s">
        <v>7</v>
      </c>
      <c r="S10" s="42"/>
      <c r="T10" s="10"/>
      <c r="U10" s="43" t="s">
        <v>8</v>
      </c>
      <c r="V10" s="31"/>
      <c r="W10" s="31"/>
      <c r="X10" s="32"/>
      <c r="Y10" s="44">
        <v>1690.0</v>
      </c>
      <c r="Z10" s="31"/>
      <c r="AA10" s="34"/>
      <c r="AB10" s="20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ht="15.75" customHeight="1">
      <c r="A11" s="21"/>
      <c r="B11" s="22"/>
      <c r="C11" s="23"/>
      <c r="D11" s="45"/>
      <c r="E11" s="46"/>
      <c r="F11" s="25"/>
      <c r="G11" s="22"/>
      <c r="H11" s="25"/>
      <c r="I11" s="22"/>
      <c r="J11" s="121" t="str">
        <f>B27</f>
        <v>IELTS GUARANTEE 8 WEEKS</v>
      </c>
      <c r="K11" s="42"/>
      <c r="L11" s="42"/>
      <c r="M11" s="122"/>
      <c r="N11" s="126">
        <v>1530.0</v>
      </c>
      <c r="O11" s="127"/>
      <c r="P11" s="40"/>
      <c r="Q11" s="24"/>
      <c r="R11" s="25"/>
      <c r="T11" s="22"/>
      <c r="U11" s="43" t="s">
        <v>10</v>
      </c>
      <c r="V11" s="31"/>
      <c r="W11" s="31"/>
      <c r="X11" s="32"/>
      <c r="Y11" s="44">
        <v>1100.0</v>
      </c>
      <c r="Z11" s="31"/>
      <c r="AA11" s="34"/>
      <c r="AB11" s="20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ht="15.75" customHeight="1">
      <c r="A12" s="49"/>
      <c r="B12" s="39"/>
      <c r="C12" s="50"/>
      <c r="D12" s="45"/>
      <c r="E12" s="46"/>
      <c r="F12" s="37"/>
      <c r="G12" s="39"/>
      <c r="H12" s="27"/>
      <c r="I12" s="29"/>
      <c r="J12" s="128"/>
      <c r="K12" s="129"/>
      <c r="L12" s="129"/>
      <c r="M12" s="130"/>
      <c r="N12" s="131"/>
      <c r="O12" s="132"/>
      <c r="P12" s="40"/>
      <c r="Q12" s="24"/>
      <c r="R12" s="37"/>
      <c r="S12" s="38"/>
      <c r="T12" s="39"/>
      <c r="U12" s="43" t="s">
        <v>11</v>
      </c>
      <c r="V12" s="31"/>
      <c r="W12" s="31"/>
      <c r="X12" s="32"/>
      <c r="Y12" s="44">
        <v>890.0</v>
      </c>
      <c r="Z12" s="31"/>
      <c r="AA12" s="34"/>
      <c r="AB12" s="20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ht="15.0" customHeight="1">
      <c r="A13" s="133"/>
      <c r="B13" s="134"/>
      <c r="C13" s="6"/>
      <c r="D13" s="24"/>
      <c r="E13" s="24"/>
      <c r="F13" s="6"/>
      <c r="G13" s="6"/>
      <c r="H13" s="135"/>
      <c r="I13" s="135"/>
      <c r="J13" s="2"/>
      <c r="K13" s="2"/>
      <c r="L13" s="2"/>
      <c r="M13" s="2"/>
      <c r="N13" s="136"/>
      <c r="O13" s="136"/>
      <c r="P13" s="40"/>
      <c r="Q13" s="24"/>
      <c r="R13" s="24"/>
      <c r="S13" s="24"/>
      <c r="T13" s="24"/>
      <c r="U13" s="24"/>
      <c r="V13" s="24"/>
      <c r="W13" s="24"/>
      <c r="X13" s="24"/>
      <c r="Y13" s="53"/>
      <c r="Z13" s="53"/>
      <c r="AA13" s="53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ht="15.0" customHeight="1">
      <c r="A14" s="51"/>
      <c r="B14" s="24"/>
      <c r="C14" s="24"/>
      <c r="D14" s="24"/>
      <c r="E14" s="24"/>
      <c r="F14" s="24"/>
      <c r="G14" s="24"/>
      <c r="H14" s="24"/>
      <c r="I14" s="24"/>
      <c r="J14" s="6"/>
      <c r="K14" s="6"/>
      <c r="L14" s="6"/>
      <c r="M14" s="6"/>
      <c r="N14" s="6"/>
      <c r="O14" s="6"/>
      <c r="P14" s="24"/>
      <c r="Q14" s="24"/>
      <c r="R14" s="58" t="s">
        <v>12</v>
      </c>
      <c r="S14" s="31"/>
      <c r="T14" s="31"/>
      <c r="U14" s="32"/>
      <c r="V14" s="59" t="s">
        <v>13</v>
      </c>
      <c r="W14" s="31"/>
      <c r="X14" s="32"/>
      <c r="Y14" s="60" t="s">
        <v>14</v>
      </c>
      <c r="Z14" s="32"/>
      <c r="AA14" s="53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ht="21.0" customHeight="1">
      <c r="A15" s="51"/>
      <c r="B15" s="24"/>
      <c r="C15" s="24"/>
      <c r="D15" s="61">
        <v>0.45</v>
      </c>
      <c r="E15" s="61">
        <v>0.65</v>
      </c>
      <c r="F15" s="61">
        <v>0.85</v>
      </c>
      <c r="G15" s="24"/>
      <c r="H15" s="62"/>
      <c r="I15" s="6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53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ht="21.0" customHeight="1">
      <c r="A16" s="137" t="s">
        <v>15</v>
      </c>
      <c r="B16" s="32"/>
      <c r="C16" s="138" t="s">
        <v>16</v>
      </c>
      <c r="D16" s="138" t="s">
        <v>17</v>
      </c>
      <c r="E16" s="138" t="s">
        <v>18</v>
      </c>
      <c r="F16" s="138" t="s">
        <v>19</v>
      </c>
      <c r="G16" s="138" t="s">
        <v>20</v>
      </c>
      <c r="H16" s="138" t="s">
        <v>21</v>
      </c>
      <c r="I16" s="138" t="s">
        <v>22</v>
      </c>
      <c r="J16" s="138" t="s">
        <v>23</v>
      </c>
      <c r="K16" s="138" t="s">
        <v>24</v>
      </c>
      <c r="L16" s="138" t="s">
        <v>25</v>
      </c>
      <c r="M16" s="138" t="s">
        <v>26</v>
      </c>
      <c r="N16" s="138" t="s">
        <v>27</v>
      </c>
      <c r="O16" s="138" t="s">
        <v>28</v>
      </c>
      <c r="P16" s="138" t="s">
        <v>29</v>
      </c>
      <c r="Q16" s="138" t="s">
        <v>30</v>
      </c>
      <c r="R16" s="138" t="s">
        <v>31</v>
      </c>
      <c r="S16" s="138" t="s">
        <v>32</v>
      </c>
      <c r="T16" s="138" t="s">
        <v>33</v>
      </c>
      <c r="U16" s="138" t="s">
        <v>34</v>
      </c>
      <c r="V16" s="138" t="s">
        <v>35</v>
      </c>
      <c r="W16" s="138" t="s">
        <v>36</v>
      </c>
      <c r="X16" s="138" t="s">
        <v>37</v>
      </c>
      <c r="Y16" s="138" t="s">
        <v>38</v>
      </c>
      <c r="Z16" s="138" t="s">
        <v>39</v>
      </c>
      <c r="AA16" s="139" t="s">
        <v>40</v>
      </c>
      <c r="AB16" s="140"/>
      <c r="AC16" s="140"/>
      <c r="AD16" s="140"/>
      <c r="AE16" s="141" t="s">
        <v>41</v>
      </c>
      <c r="AF16" s="69"/>
      <c r="AG16" s="69"/>
      <c r="AH16" s="69"/>
      <c r="AI16" s="69"/>
      <c r="AJ16" s="142"/>
      <c r="AK16" s="141" t="s">
        <v>42</v>
      </c>
      <c r="AL16" s="69"/>
      <c r="AM16" s="69"/>
      <c r="AN16" s="69"/>
      <c r="AO16" s="69"/>
    </row>
    <row r="17" ht="4.5" customHeight="1">
      <c r="A17" s="7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ht="21.75" customHeight="1">
      <c r="A18" s="143" t="s">
        <v>57</v>
      </c>
      <c r="B18" s="144" t="s">
        <v>58</v>
      </c>
      <c r="C18" s="145" t="s">
        <v>4</v>
      </c>
      <c r="D18" s="146">
        <f>G18*D15</f>
        <v>1134</v>
      </c>
      <c r="E18" s="147">
        <f>G18*E15</f>
        <v>1638</v>
      </c>
      <c r="F18" s="147">
        <f>G18*F15</f>
        <v>2142</v>
      </c>
      <c r="G18" s="148">
        <f>N7+Y7</f>
        <v>2520</v>
      </c>
      <c r="H18" s="147">
        <f t="shared" ref="H18:H23" si="1">G18+(G18*0.25)</f>
        <v>3150</v>
      </c>
      <c r="I18" s="147">
        <f t="shared" ref="I18:I23" si="2">G18+(G18*0.5)</f>
        <v>3780</v>
      </c>
      <c r="J18" s="147">
        <f t="shared" ref="J18:J23" si="3">G18+(G18*0.75)</f>
        <v>4410</v>
      </c>
      <c r="K18" s="148">
        <f t="shared" ref="K18:K23" si="4">G18*2</f>
        <v>5040</v>
      </c>
      <c r="L18" s="147">
        <f t="shared" ref="L18:L23" si="5">K18+(G18*0.25)</f>
        <v>5670</v>
      </c>
      <c r="M18" s="147">
        <f t="shared" ref="M18:M23" si="6">K18+(G18*0.5)</f>
        <v>6300</v>
      </c>
      <c r="N18" s="147">
        <f t="shared" ref="N18:N23" si="7">K18+(G18*0.75)</f>
        <v>6930</v>
      </c>
      <c r="O18" s="148">
        <f t="shared" ref="O18:O23" si="8">G18*3</f>
        <v>7560</v>
      </c>
      <c r="P18" s="147">
        <f t="shared" ref="P18:P23" si="9">O18+(G18*0.25)</f>
        <v>8190</v>
      </c>
      <c r="Q18" s="147">
        <f t="shared" ref="Q18:Q23" si="10">O18+(G18*0.5)</f>
        <v>8820</v>
      </c>
      <c r="R18" s="147">
        <f t="shared" ref="R18:R23" si="11">O18+(G18*0.75)</f>
        <v>9450</v>
      </c>
      <c r="S18" s="148">
        <f t="shared" ref="S18:S23" si="12">G18*4</f>
        <v>10080</v>
      </c>
      <c r="T18" s="147">
        <f t="shared" ref="T18:T23" si="13">S18+(G18*0.25)</f>
        <v>10710</v>
      </c>
      <c r="U18" s="147">
        <f t="shared" ref="U18:U23" si="14">S18+(G18*0.5)</f>
        <v>11340</v>
      </c>
      <c r="V18" s="147">
        <f t="shared" ref="V18:V23" si="15">S18+(G18*0.75)</f>
        <v>11970</v>
      </c>
      <c r="W18" s="148">
        <f t="shared" ref="W18:W23" si="16">G18*5</f>
        <v>12600</v>
      </c>
      <c r="X18" s="147">
        <f t="shared" ref="X18:X23" si="17">W18+(G18*0.25)</f>
        <v>13230</v>
      </c>
      <c r="Y18" s="147">
        <f t="shared" ref="Y18:Y23" si="18">W18+(G18*0.5)</f>
        <v>13860</v>
      </c>
      <c r="Z18" s="147">
        <f t="shared" ref="Z18:Z23" si="19">W18+(G18*0.75)</f>
        <v>14490</v>
      </c>
      <c r="AA18" s="149">
        <f t="shared" ref="AA18:AA23" si="20">G18*6</f>
        <v>15120</v>
      </c>
      <c r="AB18" s="150"/>
      <c r="AC18" s="150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</row>
    <row r="19" ht="21.75" customHeight="1">
      <c r="A19" s="152"/>
      <c r="B19" s="23"/>
      <c r="C19" s="153" t="s">
        <v>45</v>
      </c>
      <c r="D19" s="154">
        <f>G19*D15</f>
        <v>940.5</v>
      </c>
      <c r="E19" s="154">
        <f>G19*E15</f>
        <v>1358.5</v>
      </c>
      <c r="F19" s="154">
        <f>G19*F15</f>
        <v>1776.5</v>
      </c>
      <c r="G19" s="155">
        <f>N7+Y8</f>
        <v>2090</v>
      </c>
      <c r="H19" s="154">
        <f t="shared" si="1"/>
        <v>2612.5</v>
      </c>
      <c r="I19" s="154">
        <f t="shared" si="2"/>
        <v>3135</v>
      </c>
      <c r="J19" s="154">
        <f t="shared" si="3"/>
        <v>3657.5</v>
      </c>
      <c r="K19" s="155">
        <f t="shared" si="4"/>
        <v>4180</v>
      </c>
      <c r="L19" s="154">
        <f t="shared" si="5"/>
        <v>4702.5</v>
      </c>
      <c r="M19" s="154">
        <f t="shared" si="6"/>
        <v>5225</v>
      </c>
      <c r="N19" s="154">
        <f t="shared" si="7"/>
        <v>5747.5</v>
      </c>
      <c r="O19" s="155">
        <f t="shared" si="8"/>
        <v>6270</v>
      </c>
      <c r="P19" s="154">
        <f t="shared" si="9"/>
        <v>6792.5</v>
      </c>
      <c r="Q19" s="154">
        <f t="shared" si="10"/>
        <v>7315</v>
      </c>
      <c r="R19" s="154">
        <f t="shared" si="11"/>
        <v>7837.5</v>
      </c>
      <c r="S19" s="155">
        <f t="shared" si="12"/>
        <v>8360</v>
      </c>
      <c r="T19" s="154">
        <f t="shared" si="13"/>
        <v>8882.5</v>
      </c>
      <c r="U19" s="154">
        <f t="shared" si="14"/>
        <v>9405</v>
      </c>
      <c r="V19" s="154">
        <f t="shared" si="15"/>
        <v>9927.5</v>
      </c>
      <c r="W19" s="155">
        <f t="shared" si="16"/>
        <v>10450</v>
      </c>
      <c r="X19" s="154">
        <f t="shared" si="17"/>
        <v>10972.5</v>
      </c>
      <c r="Y19" s="154">
        <f t="shared" si="18"/>
        <v>11495</v>
      </c>
      <c r="Z19" s="154">
        <f t="shared" si="19"/>
        <v>12017.5</v>
      </c>
      <c r="AA19" s="155">
        <f t="shared" si="20"/>
        <v>12540</v>
      </c>
      <c r="AB19" s="150"/>
      <c r="AC19" s="150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</row>
    <row r="20" ht="21.75" customHeight="1">
      <c r="A20" s="152"/>
      <c r="B20" s="23"/>
      <c r="C20" s="156" t="s">
        <v>6</v>
      </c>
      <c r="D20" s="157">
        <f>G20*D15</f>
        <v>868.5</v>
      </c>
      <c r="E20" s="157">
        <f>G20*E15</f>
        <v>1254.5</v>
      </c>
      <c r="F20" s="157">
        <f>G20*F15</f>
        <v>1640.5</v>
      </c>
      <c r="G20" s="158">
        <f>N7+Y9</f>
        <v>1930</v>
      </c>
      <c r="H20" s="157">
        <f t="shared" si="1"/>
        <v>2412.5</v>
      </c>
      <c r="I20" s="157">
        <f t="shared" si="2"/>
        <v>2895</v>
      </c>
      <c r="J20" s="157">
        <f t="shared" si="3"/>
        <v>3377.5</v>
      </c>
      <c r="K20" s="158">
        <f t="shared" si="4"/>
        <v>3860</v>
      </c>
      <c r="L20" s="157">
        <f t="shared" si="5"/>
        <v>4342.5</v>
      </c>
      <c r="M20" s="157">
        <f t="shared" si="6"/>
        <v>4825</v>
      </c>
      <c r="N20" s="157">
        <f t="shared" si="7"/>
        <v>5307.5</v>
      </c>
      <c r="O20" s="158">
        <f t="shared" si="8"/>
        <v>5790</v>
      </c>
      <c r="P20" s="157">
        <f t="shared" si="9"/>
        <v>6272.5</v>
      </c>
      <c r="Q20" s="157">
        <f t="shared" si="10"/>
        <v>6755</v>
      </c>
      <c r="R20" s="157">
        <f t="shared" si="11"/>
        <v>7237.5</v>
      </c>
      <c r="S20" s="158">
        <f t="shared" si="12"/>
        <v>7720</v>
      </c>
      <c r="T20" s="157">
        <f t="shared" si="13"/>
        <v>8202.5</v>
      </c>
      <c r="U20" s="157">
        <f t="shared" si="14"/>
        <v>8685</v>
      </c>
      <c r="V20" s="157">
        <f t="shared" si="15"/>
        <v>9167.5</v>
      </c>
      <c r="W20" s="158">
        <f t="shared" si="16"/>
        <v>9650</v>
      </c>
      <c r="X20" s="157">
        <f t="shared" si="17"/>
        <v>10132.5</v>
      </c>
      <c r="Y20" s="157">
        <f t="shared" si="18"/>
        <v>10615</v>
      </c>
      <c r="Z20" s="157">
        <f t="shared" si="19"/>
        <v>11097.5</v>
      </c>
      <c r="AA20" s="159">
        <f t="shared" si="20"/>
        <v>11580</v>
      </c>
      <c r="AB20" s="150"/>
      <c r="AC20" s="150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</row>
    <row r="21" ht="21.75" customHeight="1">
      <c r="A21" s="152"/>
      <c r="B21" s="23"/>
      <c r="C21" s="145" t="s">
        <v>8</v>
      </c>
      <c r="D21" s="147">
        <f>G21*D15</f>
        <v>1264.5</v>
      </c>
      <c r="E21" s="147">
        <f>G21*E15</f>
        <v>1826.5</v>
      </c>
      <c r="F21" s="147">
        <f>G21*F15</f>
        <v>2388.5</v>
      </c>
      <c r="G21" s="148">
        <f>N7+Y10</f>
        <v>2810</v>
      </c>
      <c r="H21" s="147">
        <f t="shared" si="1"/>
        <v>3512.5</v>
      </c>
      <c r="I21" s="147">
        <f t="shared" si="2"/>
        <v>4215</v>
      </c>
      <c r="J21" s="147">
        <f t="shared" si="3"/>
        <v>4917.5</v>
      </c>
      <c r="K21" s="148">
        <f t="shared" si="4"/>
        <v>5620</v>
      </c>
      <c r="L21" s="147">
        <f t="shared" si="5"/>
        <v>6322.5</v>
      </c>
      <c r="M21" s="147">
        <f t="shared" si="6"/>
        <v>7025</v>
      </c>
      <c r="N21" s="147">
        <f t="shared" si="7"/>
        <v>7727.5</v>
      </c>
      <c r="O21" s="148">
        <f t="shared" si="8"/>
        <v>8430</v>
      </c>
      <c r="P21" s="147">
        <f t="shared" si="9"/>
        <v>9132.5</v>
      </c>
      <c r="Q21" s="147">
        <f t="shared" si="10"/>
        <v>9835</v>
      </c>
      <c r="R21" s="147">
        <f t="shared" si="11"/>
        <v>10537.5</v>
      </c>
      <c r="S21" s="148">
        <f t="shared" si="12"/>
        <v>11240</v>
      </c>
      <c r="T21" s="147">
        <f t="shared" si="13"/>
        <v>11942.5</v>
      </c>
      <c r="U21" s="147">
        <f t="shared" si="14"/>
        <v>12645</v>
      </c>
      <c r="V21" s="147">
        <f t="shared" si="15"/>
        <v>13347.5</v>
      </c>
      <c r="W21" s="148">
        <f t="shared" si="16"/>
        <v>14050</v>
      </c>
      <c r="X21" s="147">
        <f t="shared" si="17"/>
        <v>14752.5</v>
      </c>
      <c r="Y21" s="147">
        <f t="shared" si="18"/>
        <v>15455</v>
      </c>
      <c r="Z21" s="147">
        <f t="shared" si="19"/>
        <v>16157.5</v>
      </c>
      <c r="AA21" s="149">
        <f t="shared" si="20"/>
        <v>16860</v>
      </c>
      <c r="AB21" s="150"/>
      <c r="AC21" s="150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</row>
    <row r="22" ht="21.75" customHeight="1">
      <c r="A22" s="152"/>
      <c r="B22" s="23"/>
      <c r="C22" s="153" t="s">
        <v>46</v>
      </c>
      <c r="D22" s="154">
        <f>G22*D15</f>
        <v>999</v>
      </c>
      <c r="E22" s="154">
        <f>G22*E15</f>
        <v>1443</v>
      </c>
      <c r="F22" s="154">
        <f>G22*F15</f>
        <v>1887</v>
      </c>
      <c r="G22" s="155">
        <f>N7+Y11</f>
        <v>2220</v>
      </c>
      <c r="H22" s="154">
        <f t="shared" si="1"/>
        <v>2775</v>
      </c>
      <c r="I22" s="154">
        <f t="shared" si="2"/>
        <v>3330</v>
      </c>
      <c r="J22" s="154">
        <f t="shared" si="3"/>
        <v>3885</v>
      </c>
      <c r="K22" s="155">
        <f t="shared" si="4"/>
        <v>4440</v>
      </c>
      <c r="L22" s="154">
        <f t="shared" si="5"/>
        <v>4995</v>
      </c>
      <c r="M22" s="154">
        <f t="shared" si="6"/>
        <v>5550</v>
      </c>
      <c r="N22" s="154">
        <f t="shared" si="7"/>
        <v>6105</v>
      </c>
      <c r="O22" s="155">
        <f t="shared" si="8"/>
        <v>6660</v>
      </c>
      <c r="P22" s="154">
        <f t="shared" si="9"/>
        <v>7215</v>
      </c>
      <c r="Q22" s="154">
        <f t="shared" si="10"/>
        <v>7770</v>
      </c>
      <c r="R22" s="154">
        <f t="shared" si="11"/>
        <v>8325</v>
      </c>
      <c r="S22" s="155">
        <f t="shared" si="12"/>
        <v>8880</v>
      </c>
      <c r="T22" s="154">
        <f t="shared" si="13"/>
        <v>9435</v>
      </c>
      <c r="U22" s="154">
        <f t="shared" si="14"/>
        <v>9990</v>
      </c>
      <c r="V22" s="154">
        <f t="shared" si="15"/>
        <v>10545</v>
      </c>
      <c r="W22" s="155">
        <f t="shared" si="16"/>
        <v>11100</v>
      </c>
      <c r="X22" s="154">
        <f t="shared" si="17"/>
        <v>11655</v>
      </c>
      <c r="Y22" s="154">
        <f t="shared" si="18"/>
        <v>12210</v>
      </c>
      <c r="Z22" s="154">
        <f t="shared" si="19"/>
        <v>12765</v>
      </c>
      <c r="AA22" s="160">
        <f t="shared" si="20"/>
        <v>13320</v>
      </c>
      <c r="AB22" s="150"/>
      <c r="AC22" s="150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</row>
    <row r="23" ht="21.75" customHeight="1">
      <c r="A23" s="152"/>
      <c r="B23" s="50"/>
      <c r="C23" s="156" t="s">
        <v>11</v>
      </c>
      <c r="D23" s="157">
        <f>G23*D15</f>
        <v>904.5</v>
      </c>
      <c r="E23" s="157">
        <f>G23*E15</f>
        <v>1306.5</v>
      </c>
      <c r="F23" s="157">
        <f>G23*F15</f>
        <v>1708.5</v>
      </c>
      <c r="G23" s="158">
        <f>N7+Y12</f>
        <v>2010</v>
      </c>
      <c r="H23" s="157">
        <f t="shared" si="1"/>
        <v>2512.5</v>
      </c>
      <c r="I23" s="157">
        <f t="shared" si="2"/>
        <v>3015</v>
      </c>
      <c r="J23" s="157">
        <f t="shared" si="3"/>
        <v>3517.5</v>
      </c>
      <c r="K23" s="158">
        <f t="shared" si="4"/>
        <v>4020</v>
      </c>
      <c r="L23" s="157">
        <f t="shared" si="5"/>
        <v>4522.5</v>
      </c>
      <c r="M23" s="157">
        <f t="shared" si="6"/>
        <v>5025</v>
      </c>
      <c r="N23" s="157">
        <f t="shared" si="7"/>
        <v>5527.5</v>
      </c>
      <c r="O23" s="158">
        <f t="shared" si="8"/>
        <v>6030</v>
      </c>
      <c r="P23" s="157">
        <f t="shared" si="9"/>
        <v>6532.5</v>
      </c>
      <c r="Q23" s="157">
        <f t="shared" si="10"/>
        <v>7035</v>
      </c>
      <c r="R23" s="157">
        <f t="shared" si="11"/>
        <v>7537.5</v>
      </c>
      <c r="S23" s="158">
        <f t="shared" si="12"/>
        <v>8040</v>
      </c>
      <c r="T23" s="157">
        <f t="shared" si="13"/>
        <v>8542.5</v>
      </c>
      <c r="U23" s="157">
        <f t="shared" si="14"/>
        <v>9045</v>
      </c>
      <c r="V23" s="157">
        <f t="shared" si="15"/>
        <v>9547.5</v>
      </c>
      <c r="W23" s="158">
        <f t="shared" si="16"/>
        <v>10050</v>
      </c>
      <c r="X23" s="157">
        <f t="shared" si="17"/>
        <v>10552.5</v>
      </c>
      <c r="Y23" s="157">
        <f t="shared" si="18"/>
        <v>11055</v>
      </c>
      <c r="Z23" s="157">
        <f t="shared" si="19"/>
        <v>11557.5</v>
      </c>
      <c r="AA23" s="159">
        <f t="shared" si="20"/>
        <v>12060</v>
      </c>
      <c r="AB23" s="150"/>
      <c r="AC23" s="150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</row>
    <row r="24" ht="21.75" customHeight="1">
      <c r="A24" s="152"/>
      <c r="B24" s="144" t="s">
        <v>59</v>
      </c>
      <c r="C24" s="145" t="s">
        <v>4</v>
      </c>
      <c r="D24" s="147" t="s">
        <v>60</v>
      </c>
      <c r="E24" s="147" t="s">
        <v>60</v>
      </c>
      <c r="F24" s="147" t="s">
        <v>60</v>
      </c>
      <c r="G24" s="147" t="s">
        <v>60</v>
      </c>
      <c r="H24" s="147" t="s">
        <v>60</v>
      </c>
      <c r="I24" s="147" t="s">
        <v>60</v>
      </c>
      <c r="J24" s="147" t="s">
        <v>60</v>
      </c>
      <c r="K24" s="147" t="s">
        <v>60</v>
      </c>
      <c r="L24" s="147" t="s">
        <v>60</v>
      </c>
      <c r="M24" s="147" t="s">
        <v>60</v>
      </c>
      <c r="N24" s="147" t="s">
        <v>60</v>
      </c>
      <c r="O24" s="148">
        <f>(N9+Y7)*3</f>
        <v>8250</v>
      </c>
      <c r="P24" s="147" t="s">
        <v>60</v>
      </c>
      <c r="Q24" s="147" t="s">
        <v>60</v>
      </c>
      <c r="R24" s="147" t="s">
        <v>60</v>
      </c>
      <c r="S24" s="147" t="s">
        <v>60</v>
      </c>
      <c r="T24" s="147" t="s">
        <v>60</v>
      </c>
      <c r="U24" s="147" t="s">
        <v>60</v>
      </c>
      <c r="V24" s="147" t="s">
        <v>60</v>
      </c>
      <c r="W24" s="147" t="s">
        <v>60</v>
      </c>
      <c r="X24" s="147" t="s">
        <v>60</v>
      </c>
      <c r="Y24" s="147" t="s">
        <v>60</v>
      </c>
      <c r="Z24" s="147" t="s">
        <v>60</v>
      </c>
      <c r="AA24" s="147" t="s">
        <v>60</v>
      </c>
      <c r="AB24" s="150"/>
      <c r="AC24" s="150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</row>
    <row r="25" ht="21.75" customHeight="1">
      <c r="A25" s="152"/>
      <c r="B25" s="23"/>
      <c r="C25" s="153" t="s">
        <v>45</v>
      </c>
      <c r="D25" s="154" t="s">
        <v>60</v>
      </c>
      <c r="E25" s="154" t="s">
        <v>60</v>
      </c>
      <c r="F25" s="154" t="s">
        <v>60</v>
      </c>
      <c r="G25" s="154" t="s">
        <v>60</v>
      </c>
      <c r="H25" s="154" t="s">
        <v>60</v>
      </c>
      <c r="I25" s="154" t="s">
        <v>60</v>
      </c>
      <c r="J25" s="154" t="s">
        <v>60</v>
      </c>
      <c r="K25" s="154" t="s">
        <v>60</v>
      </c>
      <c r="L25" s="154" t="s">
        <v>60</v>
      </c>
      <c r="M25" s="154" t="s">
        <v>60</v>
      </c>
      <c r="N25" s="154" t="s">
        <v>60</v>
      </c>
      <c r="O25" s="155">
        <f>(N9+Y8)*3</f>
        <v>6960</v>
      </c>
      <c r="P25" s="154" t="s">
        <v>60</v>
      </c>
      <c r="Q25" s="154" t="s">
        <v>60</v>
      </c>
      <c r="R25" s="154" t="s">
        <v>60</v>
      </c>
      <c r="S25" s="154" t="s">
        <v>60</v>
      </c>
      <c r="T25" s="154" t="s">
        <v>60</v>
      </c>
      <c r="U25" s="154" t="s">
        <v>60</v>
      </c>
      <c r="V25" s="154" t="s">
        <v>60</v>
      </c>
      <c r="W25" s="154" t="s">
        <v>60</v>
      </c>
      <c r="X25" s="154" t="s">
        <v>60</v>
      </c>
      <c r="Y25" s="154" t="s">
        <v>60</v>
      </c>
      <c r="Z25" s="154" t="s">
        <v>60</v>
      </c>
      <c r="AA25" s="154" t="s">
        <v>60</v>
      </c>
      <c r="AB25" s="150"/>
      <c r="AC25" s="150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</row>
    <row r="26" ht="21.75" customHeight="1">
      <c r="A26" s="152"/>
      <c r="B26" s="161"/>
      <c r="C26" s="156" t="s">
        <v>6</v>
      </c>
      <c r="D26" s="157" t="s">
        <v>60</v>
      </c>
      <c r="E26" s="157" t="s">
        <v>60</v>
      </c>
      <c r="F26" s="157" t="s">
        <v>60</v>
      </c>
      <c r="G26" s="157" t="s">
        <v>60</v>
      </c>
      <c r="H26" s="157" t="s">
        <v>60</v>
      </c>
      <c r="I26" s="157" t="s">
        <v>60</v>
      </c>
      <c r="J26" s="157" t="s">
        <v>60</v>
      </c>
      <c r="K26" s="157" t="s">
        <v>60</v>
      </c>
      <c r="L26" s="157" t="s">
        <v>60</v>
      </c>
      <c r="M26" s="157" t="s">
        <v>60</v>
      </c>
      <c r="N26" s="157" t="s">
        <v>60</v>
      </c>
      <c r="O26" s="158">
        <f>(N9+Y9)*3</f>
        <v>6480</v>
      </c>
      <c r="P26" s="157" t="s">
        <v>60</v>
      </c>
      <c r="Q26" s="157" t="s">
        <v>60</v>
      </c>
      <c r="R26" s="157" t="s">
        <v>60</v>
      </c>
      <c r="S26" s="157" t="s">
        <v>60</v>
      </c>
      <c r="T26" s="157" t="s">
        <v>60</v>
      </c>
      <c r="U26" s="157" t="s">
        <v>60</v>
      </c>
      <c r="V26" s="157" t="s">
        <v>60</v>
      </c>
      <c r="W26" s="157" t="s">
        <v>60</v>
      </c>
      <c r="X26" s="157" t="s">
        <v>60</v>
      </c>
      <c r="Y26" s="157" t="s">
        <v>60</v>
      </c>
      <c r="Z26" s="157" t="s">
        <v>60</v>
      </c>
      <c r="AA26" s="157" t="s">
        <v>60</v>
      </c>
      <c r="AB26" s="150"/>
      <c r="AC26" s="150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</row>
    <row r="27" ht="21.75" customHeight="1">
      <c r="A27" s="152"/>
      <c r="B27" s="144" t="s">
        <v>61</v>
      </c>
      <c r="C27" s="145" t="s">
        <v>4</v>
      </c>
      <c r="D27" s="147" t="s">
        <v>60</v>
      </c>
      <c r="E27" s="147" t="s">
        <v>60</v>
      </c>
      <c r="F27" s="147" t="s">
        <v>60</v>
      </c>
      <c r="G27" s="147" t="s">
        <v>60</v>
      </c>
      <c r="H27" s="147" t="s">
        <v>60</v>
      </c>
      <c r="I27" s="147" t="s">
        <v>60</v>
      </c>
      <c r="J27" s="147" t="s">
        <v>60</v>
      </c>
      <c r="K27" s="148">
        <f>(N11+Y7)*2</f>
        <v>5860</v>
      </c>
      <c r="L27" s="147" t="s">
        <v>60</v>
      </c>
      <c r="M27" s="147" t="s">
        <v>60</v>
      </c>
      <c r="N27" s="147" t="s">
        <v>60</v>
      </c>
      <c r="O27" s="147" t="s">
        <v>60</v>
      </c>
      <c r="P27" s="147" t="s">
        <v>60</v>
      </c>
      <c r="Q27" s="147" t="s">
        <v>60</v>
      </c>
      <c r="R27" s="147" t="s">
        <v>60</v>
      </c>
      <c r="S27" s="147" t="s">
        <v>60</v>
      </c>
      <c r="T27" s="147" t="s">
        <v>60</v>
      </c>
      <c r="U27" s="147" t="s">
        <v>60</v>
      </c>
      <c r="V27" s="147" t="s">
        <v>60</v>
      </c>
      <c r="W27" s="147" t="s">
        <v>60</v>
      </c>
      <c r="X27" s="147" t="s">
        <v>60</v>
      </c>
      <c r="Y27" s="147" t="s">
        <v>60</v>
      </c>
      <c r="Z27" s="147" t="s">
        <v>60</v>
      </c>
      <c r="AA27" s="147" t="s">
        <v>60</v>
      </c>
      <c r="AB27" s="150"/>
      <c r="AC27" s="150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</row>
    <row r="28" ht="21.75" customHeight="1">
      <c r="A28" s="152"/>
      <c r="B28" s="23"/>
      <c r="C28" s="153" t="s">
        <v>45</v>
      </c>
      <c r="D28" s="154" t="s">
        <v>60</v>
      </c>
      <c r="E28" s="154" t="s">
        <v>60</v>
      </c>
      <c r="F28" s="154" t="s">
        <v>60</v>
      </c>
      <c r="G28" s="154" t="s">
        <v>60</v>
      </c>
      <c r="H28" s="154" t="s">
        <v>60</v>
      </c>
      <c r="I28" s="154" t="s">
        <v>60</v>
      </c>
      <c r="J28" s="154" t="s">
        <v>60</v>
      </c>
      <c r="K28" s="155">
        <f>(N11+Y8)*2</f>
        <v>5000</v>
      </c>
      <c r="L28" s="154" t="s">
        <v>60</v>
      </c>
      <c r="M28" s="154" t="s">
        <v>60</v>
      </c>
      <c r="N28" s="154" t="s">
        <v>60</v>
      </c>
      <c r="O28" s="154" t="s">
        <v>60</v>
      </c>
      <c r="P28" s="154" t="s">
        <v>60</v>
      </c>
      <c r="Q28" s="154" t="s">
        <v>60</v>
      </c>
      <c r="R28" s="154" t="s">
        <v>60</v>
      </c>
      <c r="S28" s="154" t="s">
        <v>60</v>
      </c>
      <c r="T28" s="154" t="s">
        <v>60</v>
      </c>
      <c r="U28" s="154" t="s">
        <v>60</v>
      </c>
      <c r="V28" s="154" t="s">
        <v>60</v>
      </c>
      <c r="W28" s="154" t="s">
        <v>60</v>
      </c>
      <c r="X28" s="154" t="s">
        <v>60</v>
      </c>
      <c r="Y28" s="154" t="s">
        <v>60</v>
      </c>
      <c r="Z28" s="154" t="s">
        <v>60</v>
      </c>
      <c r="AA28" s="154" t="s">
        <v>60</v>
      </c>
      <c r="AB28" s="150"/>
      <c r="AC28" s="150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</row>
    <row r="29" ht="21.75" customHeight="1">
      <c r="A29" s="162"/>
      <c r="B29" s="161"/>
      <c r="C29" s="156" t="s">
        <v>6</v>
      </c>
      <c r="D29" s="157" t="s">
        <v>60</v>
      </c>
      <c r="E29" s="157" t="s">
        <v>60</v>
      </c>
      <c r="F29" s="157" t="s">
        <v>60</v>
      </c>
      <c r="G29" s="157" t="s">
        <v>60</v>
      </c>
      <c r="H29" s="157" t="s">
        <v>60</v>
      </c>
      <c r="I29" s="157" t="s">
        <v>60</v>
      </c>
      <c r="J29" s="157" t="s">
        <v>60</v>
      </c>
      <c r="K29" s="158">
        <f>(N11+Y9)*2</f>
        <v>4680</v>
      </c>
      <c r="L29" s="157" t="s">
        <v>60</v>
      </c>
      <c r="M29" s="157" t="s">
        <v>60</v>
      </c>
      <c r="N29" s="157" t="s">
        <v>60</v>
      </c>
      <c r="O29" s="157" t="s">
        <v>60</v>
      </c>
      <c r="P29" s="157" t="s">
        <v>60</v>
      </c>
      <c r="Q29" s="157" t="s">
        <v>60</v>
      </c>
      <c r="R29" s="157" t="s">
        <v>60</v>
      </c>
      <c r="S29" s="157" t="s">
        <v>60</v>
      </c>
      <c r="T29" s="157" t="s">
        <v>60</v>
      </c>
      <c r="U29" s="157" t="s">
        <v>60</v>
      </c>
      <c r="V29" s="157" t="s">
        <v>60</v>
      </c>
      <c r="W29" s="157" t="s">
        <v>60</v>
      </c>
      <c r="X29" s="157" t="s">
        <v>60</v>
      </c>
      <c r="Y29" s="157" t="s">
        <v>60</v>
      </c>
      <c r="Z29" s="157" t="s">
        <v>60</v>
      </c>
      <c r="AA29" s="157" t="s">
        <v>60</v>
      </c>
      <c r="AB29" s="150"/>
      <c r="AC29" s="150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</row>
    <row r="30" ht="15.75" customHeight="1">
      <c r="A30" s="9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ht="15.0" customHeight="1">
      <c r="A31" s="94" t="s">
        <v>49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ht="15.0" customHeight="1">
      <c r="A32" s="94" t="s">
        <v>50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ht="15.75" customHeight="1">
      <c r="A33" s="9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ht="15.75" customHeight="1">
      <c r="A34" s="9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ht="15.75" customHeight="1">
      <c r="A35" s="9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ht="15.75" customHeight="1">
      <c r="A36" s="9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ht="15.75" customHeight="1">
      <c r="A37" s="9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ht="15.75" customHeight="1">
      <c r="A38" s="9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ht="15.75" customHeight="1">
      <c r="A39" s="9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ht="15.75" customHeight="1">
      <c r="A40" s="9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ht="15.75" customHeight="1">
      <c r="A41" s="9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ht="15.75" customHeight="1">
      <c r="A42" s="9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ht="15.75" customHeight="1">
      <c r="A43" s="9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ht="15.75" customHeight="1">
      <c r="A44" s="9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ht="15.75" customHeight="1">
      <c r="A45" s="9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ht="15.75" customHeight="1">
      <c r="A46" s="9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ht="15.75" customHeight="1">
      <c r="A47" s="9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ht="15.75" customHeight="1">
      <c r="A48" s="9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ht="15.75" customHeight="1">
      <c r="A49" s="9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ht="15.75" customHeight="1">
      <c r="A50" s="9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ht="15.75" customHeight="1">
      <c r="A51" s="9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ht="15.75" customHeight="1">
      <c r="A52" s="9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ht="15.75" customHeight="1">
      <c r="A53" s="9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ht="15.75" customHeight="1">
      <c r="A54" s="9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ht="15.75" customHeight="1">
      <c r="A55" s="9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ht="15.75" customHeight="1">
      <c r="A56" s="9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ht="15.75" customHeight="1">
      <c r="A57" s="9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ht="15.75" customHeight="1">
      <c r="A58" s="9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ht="15.75" customHeight="1">
      <c r="A59" s="9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ht="15.75" customHeight="1">
      <c r="A60" s="9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ht="15.75" customHeight="1">
      <c r="A61" s="9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ht="15.75" customHeight="1">
      <c r="A62" s="9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ht="15.75" customHeight="1">
      <c r="A63" s="9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ht="15.75" customHeight="1">
      <c r="A64" s="9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ht="15.75" customHeight="1">
      <c r="A65" s="9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ht="15.75" customHeight="1">
      <c r="A66" s="9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ht="15.75" customHeight="1">
      <c r="A67" s="9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ht="15.75" customHeight="1">
      <c r="A68" s="9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ht="15.75" customHeight="1">
      <c r="A69" s="9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ht="15.75" customHeight="1">
      <c r="A70" s="9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ht="15.75" customHeight="1">
      <c r="A71" s="9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ht="15.75" customHeight="1">
      <c r="A72" s="9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ht="15.75" customHeight="1">
      <c r="A73" s="9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ht="15.75" customHeight="1">
      <c r="A74" s="9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ht="15.75" customHeight="1">
      <c r="A75" s="9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ht="15.75" customHeight="1">
      <c r="A76" s="9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ht="15.75" customHeight="1">
      <c r="A77" s="9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ht="15.75" customHeight="1">
      <c r="A78" s="9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ht="15.75" customHeight="1">
      <c r="A79" s="9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ht="15.75" customHeight="1">
      <c r="A80" s="9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ht="15.75" customHeight="1">
      <c r="A81" s="9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ht="15.75" customHeight="1">
      <c r="A82" s="9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ht="15.75" customHeight="1">
      <c r="A83" s="9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ht="15.75" customHeight="1">
      <c r="A84" s="9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ht="15.75" customHeight="1">
      <c r="A85" s="9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ht="15.75" customHeight="1">
      <c r="A86" s="9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ht="15.75" customHeight="1">
      <c r="A87" s="9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ht="15.75" customHeight="1">
      <c r="A88" s="9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ht="15.75" customHeight="1">
      <c r="A89" s="9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ht="15.75" customHeight="1">
      <c r="A90" s="9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ht="15.75" customHeight="1">
      <c r="A91" s="9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ht="15.75" customHeight="1">
      <c r="A92" s="9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ht="15.75" customHeight="1">
      <c r="A93" s="9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ht="15.75" customHeight="1">
      <c r="A94" s="9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ht="15.75" customHeight="1">
      <c r="A95" s="9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ht="15.75" customHeight="1">
      <c r="A96" s="9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ht="15.75" customHeight="1">
      <c r="A97" s="9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ht="15.75" customHeight="1">
      <c r="A98" s="9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ht="15.75" customHeight="1">
      <c r="A99" s="9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ht="15.75" customHeight="1">
      <c r="A100" s="9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ht="15.75" customHeight="1">
      <c r="A101" s="9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ht="15.75" customHeight="1">
      <c r="A102" s="9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ht="15.75" customHeight="1">
      <c r="A103" s="9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ht="15.75" customHeight="1">
      <c r="A104" s="9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ht="15.75" customHeight="1">
      <c r="A105" s="9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ht="15.75" customHeight="1">
      <c r="A106" s="9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ht="15.75" customHeight="1">
      <c r="A107" s="9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ht="15.75" customHeight="1">
      <c r="A108" s="9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ht="15.75" customHeight="1">
      <c r="A109" s="9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ht="15.75" customHeight="1">
      <c r="A110" s="9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ht="15.75" customHeight="1">
      <c r="A111" s="9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ht="15.75" customHeight="1">
      <c r="A112" s="9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ht="15.75" customHeight="1">
      <c r="A113" s="9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ht="15.75" customHeight="1">
      <c r="A114" s="9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ht="15.75" customHeight="1">
      <c r="A115" s="9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ht="15.75" customHeight="1">
      <c r="A116" s="9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ht="15.75" customHeight="1">
      <c r="A117" s="9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ht="15.75" customHeight="1">
      <c r="A118" s="9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ht="15.75" customHeight="1">
      <c r="A119" s="9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ht="15.75" customHeight="1">
      <c r="A120" s="9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ht="15.75" customHeight="1">
      <c r="A121" s="9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ht="15.75" customHeight="1">
      <c r="A122" s="9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ht="15.75" customHeight="1">
      <c r="A123" s="9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ht="15.75" customHeight="1">
      <c r="A124" s="9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ht="15.75" customHeight="1">
      <c r="A125" s="9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ht="15.75" customHeight="1">
      <c r="A126" s="9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ht="15.75" customHeight="1">
      <c r="A127" s="9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ht="15.75" customHeight="1">
      <c r="A128" s="9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ht="15.75" customHeight="1">
      <c r="A129" s="9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ht="15.75" customHeight="1">
      <c r="A130" s="9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ht="15.75" customHeight="1">
      <c r="A131" s="9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ht="15.75" customHeight="1">
      <c r="A132" s="9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ht="15.75" customHeight="1">
      <c r="A133" s="9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ht="15.75" customHeight="1">
      <c r="A134" s="9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ht="15.75" customHeight="1">
      <c r="A135" s="9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ht="15.75" customHeight="1">
      <c r="A136" s="9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ht="15.75" customHeight="1">
      <c r="A137" s="9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ht="15.75" customHeight="1">
      <c r="A138" s="9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ht="15.75" customHeight="1">
      <c r="A139" s="9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ht="15.75" customHeight="1">
      <c r="A140" s="9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ht="15.75" customHeight="1">
      <c r="A141" s="9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ht="15.75" customHeight="1">
      <c r="A142" s="9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ht="15.75" customHeight="1">
      <c r="A143" s="9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ht="15.75" customHeight="1">
      <c r="A144" s="9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ht="15.75" customHeight="1">
      <c r="A145" s="9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ht="15.75" customHeight="1">
      <c r="A146" s="9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ht="15.75" customHeight="1">
      <c r="A147" s="9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ht="15.75" customHeight="1">
      <c r="A148" s="9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ht="15.75" customHeight="1">
      <c r="A149" s="9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ht="15.75" customHeight="1">
      <c r="A150" s="9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ht="15.75" customHeight="1">
      <c r="A151" s="9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ht="15.75" customHeight="1">
      <c r="A152" s="9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ht="15.75" customHeight="1">
      <c r="A153" s="9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ht="15.75" customHeight="1">
      <c r="A154" s="9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ht="15.75" customHeight="1">
      <c r="A155" s="9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ht="15.75" customHeight="1">
      <c r="A156" s="9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ht="15.75" customHeight="1">
      <c r="A157" s="9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ht="15.75" customHeight="1">
      <c r="A158" s="9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ht="15.75" customHeight="1">
      <c r="A159" s="9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ht="15.75" customHeight="1">
      <c r="A160" s="9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ht="15.75" customHeight="1">
      <c r="A161" s="9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ht="15.75" customHeight="1">
      <c r="A162" s="9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ht="15.75" customHeight="1">
      <c r="A163" s="9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ht="15.75" customHeight="1">
      <c r="A164" s="9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ht="15.75" customHeight="1">
      <c r="A165" s="9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ht="15.75" customHeight="1">
      <c r="A166" s="9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ht="15.75" customHeight="1">
      <c r="A167" s="9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ht="15.75" customHeight="1">
      <c r="A168" s="9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ht="15.75" customHeight="1">
      <c r="A169" s="9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ht="15.75" customHeight="1">
      <c r="A170" s="9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ht="15.75" customHeight="1">
      <c r="A171" s="9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ht="15.75" customHeight="1">
      <c r="A172" s="9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ht="15.75" customHeight="1">
      <c r="A173" s="9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ht="15.75" customHeight="1">
      <c r="A174" s="9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ht="15.75" customHeight="1">
      <c r="A175" s="9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ht="15.75" customHeight="1">
      <c r="A176" s="9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ht="15.75" customHeight="1">
      <c r="A177" s="9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ht="15.75" customHeight="1">
      <c r="A178" s="9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ht="15.75" customHeight="1">
      <c r="A179" s="9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ht="15.75" customHeight="1">
      <c r="A180" s="9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ht="15.75" customHeight="1">
      <c r="A181" s="9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ht="15.75" customHeight="1">
      <c r="A182" s="9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ht="15.75" customHeight="1">
      <c r="A183" s="9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ht="15.75" customHeight="1">
      <c r="A184" s="9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ht="15.75" customHeight="1">
      <c r="A185" s="9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ht="15.75" customHeight="1">
      <c r="A186" s="9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ht="15.75" customHeight="1">
      <c r="A187" s="9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ht="15.75" customHeight="1">
      <c r="A188" s="9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ht="15.75" customHeight="1">
      <c r="A189" s="9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ht="15.75" customHeight="1">
      <c r="A190" s="9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ht="15.75" customHeight="1">
      <c r="A191" s="9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ht="15.75" customHeight="1">
      <c r="A192" s="9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ht="15.75" customHeight="1">
      <c r="A193" s="9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ht="15.75" customHeight="1">
      <c r="A194" s="9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ht="15.75" customHeight="1">
      <c r="A195" s="9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ht="15.75" customHeight="1">
      <c r="A196" s="9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ht="15.75" customHeight="1">
      <c r="A197" s="9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ht="15.75" customHeight="1">
      <c r="A198" s="9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ht="15.75" customHeight="1">
      <c r="A199" s="9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ht="15.75" customHeight="1">
      <c r="A200" s="9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ht="15.75" customHeight="1">
      <c r="A201" s="9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ht="15.75" customHeight="1">
      <c r="A202" s="9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ht="15.75" customHeight="1">
      <c r="A203" s="9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ht="15.75" customHeight="1">
      <c r="A204" s="9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ht="15.75" customHeight="1">
      <c r="A205" s="9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ht="15.75" customHeight="1">
      <c r="A206" s="9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ht="15.75" customHeight="1">
      <c r="A207" s="9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ht="15.75" customHeight="1">
      <c r="A208" s="9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ht="15.75" customHeight="1">
      <c r="A209" s="9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ht="15.75" customHeight="1">
      <c r="A210" s="9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ht="15.75" customHeight="1">
      <c r="A211" s="9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ht="15.75" customHeight="1">
      <c r="A212" s="9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ht="15.75" customHeight="1">
      <c r="A213" s="9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ht="15.75" customHeight="1">
      <c r="A214" s="9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ht="15.75" customHeight="1">
      <c r="A215" s="9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ht="15.75" customHeight="1">
      <c r="A216" s="9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ht="15.75" customHeight="1">
      <c r="A217" s="9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ht="15.75" customHeight="1">
      <c r="A218" s="9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ht="15.75" customHeight="1">
      <c r="A219" s="9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ht="15.75" customHeight="1">
      <c r="A220" s="9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ht="15.75" customHeight="1">
      <c r="A221" s="9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ht="15.75" customHeight="1">
      <c r="A222" s="9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ht="15.75" customHeight="1">
      <c r="A223" s="9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ht="15.75" customHeight="1">
      <c r="A224" s="9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ht="15.75" customHeight="1">
      <c r="A225" s="9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ht="15.75" customHeight="1">
      <c r="A226" s="9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ht="15.75" customHeight="1">
      <c r="A227" s="9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ht="15.75" customHeight="1">
      <c r="A228" s="9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ht="15.75" customHeight="1">
      <c r="A229" s="9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ht="15.75" customHeight="1">
      <c r="A230" s="9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ht="15.75" customHeight="1">
      <c r="A231" s="9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ht="15.75" customHeight="1">
      <c r="A232" s="9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ht="15.75" customHeight="1">
      <c r="A233" s="9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ht="15.75" customHeight="1">
      <c r="A234" s="9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ht="15.75" customHeight="1">
      <c r="A235" s="9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ht="15.75" customHeight="1">
      <c r="A236" s="9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ht="15.75" customHeight="1">
      <c r="A237" s="9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ht="15.75" customHeight="1">
      <c r="A238" s="9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ht="15.75" customHeight="1">
      <c r="A239" s="9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ht="15.75" customHeight="1">
      <c r="A240" s="9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ht="15.75" customHeight="1">
      <c r="A241" s="9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ht="15.75" customHeight="1">
      <c r="A242" s="9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ht="15.75" customHeight="1">
      <c r="A243" s="9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ht="15.75" customHeight="1">
      <c r="A244" s="9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ht="15.75" customHeight="1">
      <c r="A245" s="9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ht="15.75" customHeight="1">
      <c r="A246" s="9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ht="15.75" customHeight="1">
      <c r="A247" s="9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ht="15.75" customHeight="1">
      <c r="A248" s="9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ht="15.75" customHeight="1">
      <c r="A249" s="9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ht="15.75" customHeight="1">
      <c r="A250" s="9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ht="15.75" customHeight="1">
      <c r="A251" s="9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ht="15.75" customHeight="1">
      <c r="A252" s="9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ht="15.75" customHeight="1">
      <c r="A253" s="9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ht="15.75" customHeight="1">
      <c r="A254" s="9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ht="15.75" customHeight="1">
      <c r="A255" s="9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ht="15.75" customHeight="1">
      <c r="A256" s="9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ht="15.75" customHeight="1">
      <c r="A257" s="9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ht="15.75" customHeight="1">
      <c r="A258" s="9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ht="15.75" customHeight="1">
      <c r="A259" s="9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ht="15.75" customHeight="1">
      <c r="A260" s="9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ht="15.75" customHeight="1">
      <c r="A261" s="9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ht="15.75" customHeight="1">
      <c r="A262" s="9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ht="15.75" customHeight="1">
      <c r="A263" s="9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ht="15.75" customHeight="1">
      <c r="A264" s="9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ht="15.75" customHeight="1">
      <c r="A265" s="9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ht="15.75" customHeight="1">
      <c r="A266" s="9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ht="15.75" customHeight="1">
      <c r="A267" s="9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ht="15.75" customHeight="1">
      <c r="A268" s="9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ht="15.75" customHeight="1">
      <c r="A269" s="9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ht="15.75" customHeight="1">
      <c r="A270" s="9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ht="15.75" customHeight="1">
      <c r="A271" s="9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ht="15.75" customHeight="1">
      <c r="A272" s="9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ht="15.75" customHeight="1">
      <c r="A273" s="9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ht="15.75" customHeight="1">
      <c r="A274" s="9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ht="15.75" customHeight="1">
      <c r="A275" s="9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ht="15.75" customHeight="1">
      <c r="A276" s="9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ht="15.75" customHeight="1">
      <c r="A277" s="9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ht="15.75" customHeight="1">
      <c r="A278" s="9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ht="15.75" customHeight="1">
      <c r="A279" s="9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ht="15.75" customHeight="1">
      <c r="A280" s="9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ht="15.75" customHeight="1">
      <c r="A281" s="9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ht="15.75" customHeight="1">
      <c r="A282" s="9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ht="15.75" customHeight="1">
      <c r="A283" s="9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ht="15.75" customHeight="1">
      <c r="A284" s="9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ht="15.75" customHeight="1">
      <c r="A285" s="9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ht="15.75" customHeight="1">
      <c r="A286" s="9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ht="15.75" customHeight="1">
      <c r="A287" s="9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ht="15.75" customHeight="1">
      <c r="A288" s="9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ht="15.75" customHeight="1">
      <c r="A289" s="9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ht="15.75" customHeight="1">
      <c r="A290" s="9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ht="15.75" customHeight="1">
      <c r="A291" s="9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ht="15.75" customHeight="1">
      <c r="A292" s="9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ht="15.75" customHeight="1">
      <c r="A293" s="9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ht="15.75" customHeight="1">
      <c r="A294" s="9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ht="15.75" customHeight="1">
      <c r="A295" s="9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ht="15.75" customHeight="1">
      <c r="A296" s="9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ht="15.75" customHeight="1">
      <c r="A297" s="9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ht="15.75" customHeight="1">
      <c r="A298" s="9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ht="15.75" customHeight="1">
      <c r="A299" s="9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ht="15.75" customHeight="1">
      <c r="A300" s="9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ht="15.75" customHeight="1">
      <c r="A301" s="9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ht="15.75" customHeight="1">
      <c r="A302" s="9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ht="15.75" customHeight="1">
      <c r="A303" s="9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ht="15.75" customHeight="1">
      <c r="A304" s="9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ht="15.75" customHeight="1">
      <c r="A305" s="9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ht="15.75" customHeight="1">
      <c r="A306" s="9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ht="15.75" customHeight="1">
      <c r="A307" s="9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ht="15.75" customHeight="1">
      <c r="A308" s="9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ht="15.75" customHeight="1">
      <c r="A309" s="9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ht="15.75" customHeight="1">
      <c r="A310" s="9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ht="15.75" customHeight="1">
      <c r="A311" s="9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ht="15.75" customHeight="1">
      <c r="A312" s="9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ht="15.75" customHeight="1">
      <c r="A313" s="9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ht="15.75" customHeight="1">
      <c r="A314" s="9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ht="15.75" customHeight="1">
      <c r="A315" s="9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ht="15.75" customHeight="1">
      <c r="A316" s="9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ht="15.75" customHeight="1">
      <c r="A317" s="9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ht="15.75" customHeight="1">
      <c r="A318" s="9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ht="15.75" customHeight="1">
      <c r="A319" s="9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ht="15.75" customHeight="1">
      <c r="A320" s="9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ht="15.75" customHeight="1">
      <c r="A321" s="9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ht="15.75" customHeight="1">
      <c r="A322" s="9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ht="15.75" customHeight="1">
      <c r="A323" s="9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ht="15.75" customHeight="1">
      <c r="A324" s="9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ht="15.75" customHeight="1">
      <c r="A325" s="9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ht="15.75" customHeight="1">
      <c r="A326" s="9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ht="15.75" customHeight="1">
      <c r="A327" s="9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ht="15.75" customHeight="1">
      <c r="A328" s="9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ht="15.75" customHeight="1">
      <c r="A329" s="9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ht="15.75" customHeight="1">
      <c r="A330" s="9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ht="15.75" customHeight="1">
      <c r="A331" s="9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ht="15.75" customHeight="1">
      <c r="A332" s="9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ht="15.75" customHeight="1">
      <c r="A333" s="9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ht="15.75" customHeight="1">
      <c r="A334" s="9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ht="15.75" customHeight="1">
      <c r="A335" s="9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ht="15.75" customHeight="1">
      <c r="A336" s="9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ht="15.75" customHeight="1">
      <c r="A337" s="9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ht="15.75" customHeight="1">
      <c r="A338" s="9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ht="15.75" customHeight="1">
      <c r="A339" s="9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ht="15.75" customHeight="1">
      <c r="A340" s="9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ht="15.75" customHeight="1">
      <c r="A341" s="9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ht="15.75" customHeight="1">
      <c r="A342" s="9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ht="15.75" customHeight="1">
      <c r="A343" s="9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ht="15.75" customHeight="1">
      <c r="A344" s="9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ht="15.75" customHeight="1">
      <c r="A345" s="9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ht="15.75" customHeight="1">
      <c r="A346" s="9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ht="15.75" customHeight="1">
      <c r="A347" s="9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ht="15.75" customHeight="1">
      <c r="A348" s="9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ht="15.75" customHeight="1">
      <c r="A349" s="9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ht="15.75" customHeight="1">
      <c r="A350" s="9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ht="15.75" customHeight="1">
      <c r="A351" s="9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ht="15.75" customHeight="1">
      <c r="A352" s="9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ht="15.75" customHeight="1">
      <c r="A353" s="9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ht="15.75" customHeight="1">
      <c r="A354" s="9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ht="15.75" customHeight="1">
      <c r="A355" s="9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ht="15.75" customHeight="1">
      <c r="A356" s="9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ht="15.75" customHeight="1">
      <c r="A357" s="9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ht="15.75" customHeight="1">
      <c r="A358" s="9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ht="15.75" customHeight="1">
      <c r="A359" s="9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ht="15.75" customHeight="1">
      <c r="A360" s="9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ht="15.75" customHeight="1">
      <c r="A361" s="9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ht="15.75" customHeight="1">
      <c r="A362" s="9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ht="15.75" customHeight="1">
      <c r="A363" s="9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ht="15.75" customHeight="1">
      <c r="A364" s="9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ht="15.75" customHeight="1">
      <c r="A365" s="9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ht="15.75" customHeight="1">
      <c r="A366" s="9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ht="15.75" customHeight="1">
      <c r="A367" s="9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ht="15.75" customHeight="1">
      <c r="A368" s="9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ht="15.75" customHeight="1">
      <c r="A369" s="9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ht="15.75" customHeight="1">
      <c r="A370" s="9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ht="15.75" customHeight="1">
      <c r="A371" s="9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ht="15.75" customHeight="1">
      <c r="A372" s="9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ht="15.75" customHeight="1">
      <c r="A373" s="9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ht="15.75" customHeight="1">
      <c r="A374" s="9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ht="15.75" customHeight="1">
      <c r="A375" s="9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ht="15.75" customHeight="1">
      <c r="A376" s="9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ht="15.75" customHeight="1">
      <c r="A377" s="9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ht="15.75" customHeight="1">
      <c r="A378" s="9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ht="15.75" customHeight="1">
      <c r="A379" s="9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ht="15.75" customHeight="1">
      <c r="A380" s="9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ht="15.75" customHeight="1">
      <c r="A381" s="9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ht="15.75" customHeight="1">
      <c r="A382" s="9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ht="15.75" customHeight="1">
      <c r="A383" s="9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ht="15.75" customHeight="1">
      <c r="A384" s="9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ht="15.75" customHeight="1">
      <c r="A385" s="9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ht="15.75" customHeight="1">
      <c r="A386" s="9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ht="15.75" customHeight="1">
      <c r="A387" s="9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ht="15.75" customHeight="1">
      <c r="A388" s="9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ht="15.75" customHeight="1">
      <c r="A389" s="9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ht="15.75" customHeight="1">
      <c r="A390" s="9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ht="15.75" customHeight="1">
      <c r="A391" s="9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ht="15.75" customHeight="1">
      <c r="A392" s="9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ht="15.75" customHeight="1">
      <c r="A393" s="9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ht="15.75" customHeight="1">
      <c r="A394" s="9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ht="15.75" customHeight="1">
      <c r="A395" s="9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ht="15.75" customHeight="1">
      <c r="A396" s="9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ht="15.75" customHeight="1">
      <c r="A397" s="9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ht="15.75" customHeight="1">
      <c r="A398" s="9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ht="15.75" customHeight="1">
      <c r="A399" s="9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ht="15.75" customHeight="1">
      <c r="A400" s="9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ht="15.75" customHeight="1">
      <c r="A401" s="9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ht="15.75" customHeight="1">
      <c r="A402" s="9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ht="15.75" customHeight="1">
      <c r="A403" s="9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ht="15.75" customHeight="1">
      <c r="A404" s="9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ht="15.75" customHeight="1">
      <c r="A405" s="9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ht="15.75" customHeight="1">
      <c r="A406" s="9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ht="15.75" customHeight="1">
      <c r="A407" s="9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ht="15.75" customHeight="1">
      <c r="A408" s="9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ht="15.75" customHeight="1">
      <c r="A409" s="9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ht="15.75" customHeight="1">
      <c r="A410" s="9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ht="15.75" customHeight="1">
      <c r="A411" s="9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ht="15.75" customHeight="1">
      <c r="A412" s="9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ht="15.75" customHeight="1">
      <c r="A413" s="9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ht="15.75" customHeight="1">
      <c r="A414" s="9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ht="15.75" customHeight="1">
      <c r="A415" s="9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ht="15.75" customHeight="1">
      <c r="A416" s="9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ht="15.75" customHeight="1">
      <c r="A417" s="9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ht="15.75" customHeight="1">
      <c r="A418" s="9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ht="15.75" customHeight="1">
      <c r="A419" s="9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ht="15.75" customHeight="1">
      <c r="A420" s="9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ht="15.75" customHeight="1">
      <c r="A421" s="9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ht="15.75" customHeight="1">
      <c r="A422" s="9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ht="15.75" customHeight="1">
      <c r="A423" s="9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ht="15.75" customHeight="1">
      <c r="A424" s="9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ht="15.75" customHeight="1">
      <c r="A425" s="9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ht="15.75" customHeight="1">
      <c r="A426" s="9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ht="15.75" customHeight="1">
      <c r="A427" s="9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ht="15.75" customHeight="1">
      <c r="A428" s="9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ht="15.75" customHeight="1">
      <c r="A429" s="9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ht="15.75" customHeight="1">
      <c r="A430" s="9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ht="15.75" customHeight="1">
      <c r="A431" s="9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ht="15.75" customHeight="1">
      <c r="A432" s="9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ht="15.75" customHeight="1">
      <c r="A433" s="9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ht="15.75" customHeight="1">
      <c r="A434" s="9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ht="15.75" customHeight="1">
      <c r="A435" s="9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ht="15.75" customHeight="1">
      <c r="A436" s="9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ht="15.75" customHeight="1">
      <c r="A437" s="9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ht="15.75" customHeight="1">
      <c r="A438" s="9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ht="15.75" customHeight="1">
      <c r="A439" s="9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ht="15.75" customHeight="1">
      <c r="A440" s="9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ht="15.75" customHeight="1">
      <c r="A441" s="9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ht="15.75" customHeight="1">
      <c r="A442" s="9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ht="15.75" customHeight="1">
      <c r="A443" s="9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ht="15.75" customHeight="1">
      <c r="A444" s="9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ht="15.75" customHeight="1">
      <c r="A445" s="9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ht="15.75" customHeight="1">
      <c r="A446" s="9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ht="15.75" customHeight="1">
      <c r="A447" s="9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ht="15.75" customHeight="1">
      <c r="A448" s="9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ht="15.75" customHeight="1">
      <c r="A449" s="9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ht="15.75" customHeight="1">
      <c r="A450" s="9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ht="15.75" customHeight="1">
      <c r="A451" s="9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ht="15.75" customHeight="1">
      <c r="A452" s="9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ht="15.75" customHeight="1">
      <c r="A453" s="9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ht="15.75" customHeight="1">
      <c r="A454" s="9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ht="15.75" customHeight="1">
      <c r="A455" s="9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ht="15.75" customHeight="1">
      <c r="A456" s="9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ht="15.75" customHeight="1">
      <c r="A457" s="9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ht="15.75" customHeight="1">
      <c r="A458" s="9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ht="15.75" customHeight="1">
      <c r="A459" s="9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ht="15.75" customHeight="1">
      <c r="A460" s="9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ht="15.75" customHeight="1">
      <c r="A461" s="9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ht="15.75" customHeight="1">
      <c r="A462" s="9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ht="15.75" customHeight="1">
      <c r="A463" s="9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ht="15.75" customHeight="1">
      <c r="A464" s="9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ht="15.75" customHeight="1">
      <c r="A465" s="9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ht="15.75" customHeight="1">
      <c r="A466" s="9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ht="15.75" customHeight="1">
      <c r="A467" s="9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ht="15.75" customHeight="1">
      <c r="A468" s="9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ht="15.75" customHeight="1">
      <c r="A469" s="9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ht="15.75" customHeight="1">
      <c r="A470" s="9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ht="15.75" customHeight="1">
      <c r="A471" s="9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ht="15.75" customHeight="1">
      <c r="A472" s="9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ht="15.75" customHeight="1">
      <c r="A473" s="9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ht="15.75" customHeight="1">
      <c r="A474" s="9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ht="15.75" customHeight="1">
      <c r="A475" s="9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ht="15.75" customHeight="1">
      <c r="A476" s="9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ht="15.75" customHeight="1">
      <c r="A477" s="9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ht="15.75" customHeight="1">
      <c r="A478" s="9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ht="15.75" customHeight="1">
      <c r="A479" s="9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ht="15.75" customHeight="1">
      <c r="A480" s="9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ht="15.75" customHeight="1">
      <c r="A481" s="9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ht="15.75" customHeight="1">
      <c r="A482" s="9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ht="15.75" customHeight="1">
      <c r="A483" s="9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ht="15.75" customHeight="1">
      <c r="A484" s="9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ht="15.75" customHeight="1">
      <c r="A485" s="9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ht="15.75" customHeight="1">
      <c r="A486" s="9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ht="15.75" customHeight="1">
      <c r="A487" s="9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ht="15.75" customHeight="1">
      <c r="A488" s="9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ht="15.75" customHeight="1">
      <c r="A489" s="9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ht="15.75" customHeight="1">
      <c r="A490" s="9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ht="15.75" customHeight="1">
      <c r="A491" s="9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ht="15.75" customHeight="1">
      <c r="A492" s="9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ht="15.75" customHeight="1">
      <c r="A493" s="9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ht="15.75" customHeight="1">
      <c r="A494" s="9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ht="15.75" customHeight="1">
      <c r="A495" s="9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ht="15.75" customHeight="1">
      <c r="A496" s="9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ht="15.75" customHeight="1">
      <c r="A497" s="9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ht="15.75" customHeight="1">
      <c r="A498" s="9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ht="15.75" customHeight="1">
      <c r="A499" s="9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ht="15.75" customHeight="1">
      <c r="A500" s="9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ht="15.75" customHeight="1">
      <c r="A501" s="9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ht="15.75" customHeight="1">
      <c r="A502" s="9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ht="15.75" customHeight="1">
      <c r="A503" s="9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ht="15.75" customHeight="1">
      <c r="A504" s="9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ht="15.75" customHeight="1">
      <c r="A505" s="9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ht="15.75" customHeight="1">
      <c r="A506" s="9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ht="15.75" customHeight="1">
      <c r="A507" s="9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ht="15.75" customHeight="1">
      <c r="A508" s="9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ht="15.75" customHeight="1">
      <c r="A509" s="9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ht="15.75" customHeight="1">
      <c r="A510" s="9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ht="15.75" customHeight="1">
      <c r="A511" s="9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ht="15.75" customHeight="1">
      <c r="A512" s="9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ht="15.75" customHeight="1">
      <c r="A513" s="9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ht="15.75" customHeight="1">
      <c r="A514" s="9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ht="15.75" customHeight="1">
      <c r="A515" s="9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ht="15.75" customHeight="1">
      <c r="A516" s="9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ht="15.75" customHeight="1">
      <c r="A517" s="9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ht="15.75" customHeight="1">
      <c r="A518" s="9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ht="15.75" customHeight="1">
      <c r="A519" s="9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ht="15.75" customHeight="1">
      <c r="A520" s="9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ht="15.75" customHeight="1">
      <c r="A521" s="9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ht="15.75" customHeight="1">
      <c r="A522" s="9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ht="15.75" customHeight="1">
      <c r="A523" s="9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ht="15.75" customHeight="1">
      <c r="A524" s="9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ht="15.75" customHeight="1">
      <c r="A525" s="9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ht="15.75" customHeight="1">
      <c r="A526" s="9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ht="15.75" customHeight="1">
      <c r="A527" s="9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ht="15.75" customHeight="1">
      <c r="A528" s="9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ht="15.75" customHeight="1">
      <c r="A529" s="9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ht="15.75" customHeight="1">
      <c r="A530" s="9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ht="15.75" customHeight="1">
      <c r="A531" s="9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ht="15.75" customHeight="1">
      <c r="A532" s="9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ht="15.75" customHeight="1">
      <c r="A533" s="9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ht="15.75" customHeight="1">
      <c r="A534" s="9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ht="15.75" customHeight="1">
      <c r="A535" s="9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ht="15.75" customHeight="1">
      <c r="A536" s="9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ht="15.75" customHeight="1">
      <c r="A537" s="9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ht="15.75" customHeight="1">
      <c r="A538" s="9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ht="15.75" customHeight="1">
      <c r="A539" s="9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ht="15.75" customHeight="1">
      <c r="A540" s="9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ht="15.75" customHeight="1">
      <c r="A541" s="9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ht="15.75" customHeight="1">
      <c r="A542" s="9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ht="15.75" customHeight="1">
      <c r="A543" s="9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ht="15.75" customHeight="1">
      <c r="A544" s="9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ht="15.75" customHeight="1">
      <c r="A545" s="9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ht="15.75" customHeight="1">
      <c r="A546" s="9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ht="15.75" customHeight="1">
      <c r="A547" s="9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ht="15.75" customHeight="1">
      <c r="A548" s="9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ht="15.75" customHeight="1">
      <c r="A549" s="9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ht="15.75" customHeight="1">
      <c r="A550" s="9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ht="15.75" customHeight="1">
      <c r="A551" s="9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ht="15.75" customHeight="1">
      <c r="A552" s="9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ht="15.75" customHeight="1">
      <c r="A553" s="9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ht="15.75" customHeight="1">
      <c r="A554" s="9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ht="15.75" customHeight="1">
      <c r="A555" s="9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ht="15.75" customHeight="1">
      <c r="A556" s="9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ht="15.75" customHeight="1">
      <c r="A557" s="9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ht="15.75" customHeight="1">
      <c r="A558" s="9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ht="15.75" customHeight="1">
      <c r="A559" s="9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ht="15.75" customHeight="1">
      <c r="A560" s="9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ht="15.75" customHeight="1">
      <c r="A561" s="9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ht="15.75" customHeight="1">
      <c r="A562" s="9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ht="15.75" customHeight="1">
      <c r="A563" s="9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ht="15.75" customHeight="1">
      <c r="A564" s="9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ht="15.75" customHeight="1">
      <c r="A565" s="9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ht="15.75" customHeight="1">
      <c r="A566" s="9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ht="15.75" customHeight="1">
      <c r="A567" s="9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ht="15.75" customHeight="1">
      <c r="A568" s="9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ht="15.75" customHeight="1">
      <c r="A569" s="9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ht="15.75" customHeight="1">
      <c r="A570" s="9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ht="15.75" customHeight="1">
      <c r="A571" s="9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ht="15.75" customHeight="1">
      <c r="A572" s="9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ht="15.75" customHeight="1">
      <c r="A573" s="9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ht="15.75" customHeight="1">
      <c r="A574" s="9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ht="15.75" customHeight="1">
      <c r="A575" s="9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ht="15.75" customHeight="1">
      <c r="A576" s="9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ht="15.75" customHeight="1">
      <c r="A577" s="9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ht="15.75" customHeight="1">
      <c r="A578" s="9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ht="15.75" customHeight="1">
      <c r="A579" s="9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ht="15.75" customHeight="1">
      <c r="A580" s="9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ht="15.75" customHeight="1">
      <c r="A581" s="9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ht="15.75" customHeight="1">
      <c r="A582" s="9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ht="15.75" customHeight="1">
      <c r="A583" s="9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ht="15.75" customHeight="1">
      <c r="A584" s="9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ht="15.75" customHeight="1">
      <c r="A585" s="9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ht="15.75" customHeight="1">
      <c r="A586" s="9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ht="15.75" customHeight="1">
      <c r="A587" s="9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ht="15.75" customHeight="1">
      <c r="A588" s="9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ht="15.75" customHeight="1">
      <c r="A589" s="9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ht="15.75" customHeight="1">
      <c r="A590" s="9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ht="15.75" customHeight="1">
      <c r="A591" s="9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ht="15.75" customHeight="1">
      <c r="A592" s="9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ht="15.75" customHeight="1">
      <c r="A593" s="9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ht="15.75" customHeight="1">
      <c r="A594" s="9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ht="15.75" customHeight="1">
      <c r="A595" s="9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ht="15.75" customHeight="1">
      <c r="A596" s="9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ht="15.75" customHeight="1">
      <c r="A597" s="9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ht="15.75" customHeight="1">
      <c r="A598" s="9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ht="15.75" customHeight="1">
      <c r="A599" s="9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ht="15.75" customHeight="1">
      <c r="A600" s="9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ht="15.75" customHeight="1">
      <c r="A601" s="9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ht="15.75" customHeight="1">
      <c r="A602" s="9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ht="15.75" customHeight="1">
      <c r="A603" s="9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ht="15.75" customHeight="1">
      <c r="A604" s="9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ht="15.75" customHeight="1">
      <c r="A605" s="9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ht="15.75" customHeight="1">
      <c r="A606" s="9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ht="15.75" customHeight="1">
      <c r="A607" s="9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ht="15.75" customHeight="1">
      <c r="A608" s="9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ht="15.75" customHeight="1">
      <c r="A609" s="9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ht="15.75" customHeight="1">
      <c r="A610" s="9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ht="15.75" customHeight="1">
      <c r="A611" s="9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ht="15.75" customHeight="1">
      <c r="A612" s="9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ht="15.75" customHeight="1">
      <c r="A613" s="9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ht="15.75" customHeight="1">
      <c r="A614" s="9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ht="15.75" customHeight="1">
      <c r="A615" s="9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ht="15.75" customHeight="1">
      <c r="A616" s="9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ht="15.75" customHeight="1">
      <c r="A617" s="9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ht="15.75" customHeight="1">
      <c r="A618" s="9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ht="15.75" customHeight="1">
      <c r="A619" s="9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ht="15.75" customHeight="1">
      <c r="A620" s="9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ht="15.75" customHeight="1">
      <c r="A621" s="9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ht="15.75" customHeight="1">
      <c r="A622" s="9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ht="15.75" customHeight="1">
      <c r="A623" s="9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ht="15.75" customHeight="1">
      <c r="A624" s="9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ht="15.75" customHeight="1">
      <c r="A625" s="9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ht="15.75" customHeight="1">
      <c r="A626" s="9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ht="15.75" customHeight="1">
      <c r="A627" s="9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ht="15.75" customHeight="1">
      <c r="A628" s="9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ht="15.75" customHeight="1">
      <c r="A629" s="9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ht="15.75" customHeight="1">
      <c r="A630" s="9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ht="15.75" customHeight="1">
      <c r="A631" s="9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ht="15.75" customHeight="1">
      <c r="A632" s="9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ht="15.75" customHeight="1">
      <c r="A633" s="9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ht="15.75" customHeight="1">
      <c r="A634" s="9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ht="15.75" customHeight="1">
      <c r="A635" s="9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ht="15.75" customHeight="1">
      <c r="A636" s="9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ht="15.75" customHeight="1">
      <c r="A637" s="9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ht="15.75" customHeight="1">
      <c r="A638" s="9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ht="15.75" customHeight="1">
      <c r="A639" s="9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ht="15.75" customHeight="1">
      <c r="A640" s="9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ht="15.75" customHeight="1">
      <c r="A641" s="9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ht="15.75" customHeight="1">
      <c r="A642" s="9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ht="15.75" customHeight="1">
      <c r="A643" s="9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ht="15.75" customHeight="1">
      <c r="A644" s="9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ht="15.75" customHeight="1">
      <c r="A645" s="9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ht="15.75" customHeight="1">
      <c r="A646" s="9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ht="15.75" customHeight="1">
      <c r="A647" s="9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ht="15.75" customHeight="1">
      <c r="A648" s="9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ht="15.75" customHeight="1">
      <c r="A649" s="9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ht="15.75" customHeight="1">
      <c r="A650" s="9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ht="15.75" customHeight="1">
      <c r="A651" s="9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ht="15.75" customHeight="1">
      <c r="A652" s="9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ht="15.75" customHeight="1">
      <c r="A653" s="9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ht="15.75" customHeight="1">
      <c r="A654" s="9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ht="15.75" customHeight="1">
      <c r="A655" s="9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ht="15.75" customHeight="1">
      <c r="A656" s="9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ht="15.75" customHeight="1">
      <c r="A657" s="9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ht="15.75" customHeight="1">
      <c r="A658" s="9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ht="15.75" customHeight="1">
      <c r="A659" s="9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ht="15.75" customHeight="1">
      <c r="A660" s="9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ht="15.75" customHeight="1">
      <c r="A661" s="9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ht="15.75" customHeight="1">
      <c r="A662" s="9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ht="15.75" customHeight="1">
      <c r="A663" s="9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ht="15.75" customHeight="1">
      <c r="A664" s="9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ht="15.75" customHeight="1">
      <c r="A665" s="9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ht="15.75" customHeight="1">
      <c r="A666" s="9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ht="15.75" customHeight="1">
      <c r="A667" s="9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ht="15.75" customHeight="1">
      <c r="A668" s="9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ht="15.75" customHeight="1">
      <c r="A669" s="9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ht="15.75" customHeight="1">
      <c r="A670" s="9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ht="15.75" customHeight="1">
      <c r="A671" s="9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ht="15.75" customHeight="1">
      <c r="A672" s="9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ht="15.75" customHeight="1">
      <c r="A673" s="9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ht="15.75" customHeight="1">
      <c r="A674" s="9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ht="15.75" customHeight="1">
      <c r="A675" s="9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ht="15.75" customHeight="1">
      <c r="A676" s="9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ht="15.75" customHeight="1">
      <c r="A677" s="9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ht="15.75" customHeight="1">
      <c r="A678" s="9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ht="15.75" customHeight="1">
      <c r="A679" s="9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ht="15.75" customHeight="1">
      <c r="A680" s="9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ht="15.75" customHeight="1">
      <c r="A681" s="9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ht="15.75" customHeight="1">
      <c r="A682" s="9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ht="15.75" customHeight="1">
      <c r="A683" s="9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ht="15.75" customHeight="1">
      <c r="A684" s="9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ht="15.75" customHeight="1">
      <c r="A685" s="9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ht="15.75" customHeight="1">
      <c r="A686" s="9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ht="15.75" customHeight="1">
      <c r="A687" s="9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ht="15.75" customHeight="1">
      <c r="A688" s="9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ht="15.75" customHeight="1">
      <c r="A689" s="9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ht="15.75" customHeight="1">
      <c r="A690" s="9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ht="15.75" customHeight="1">
      <c r="A691" s="9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ht="15.75" customHeight="1">
      <c r="A692" s="9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ht="15.75" customHeight="1">
      <c r="A693" s="9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ht="15.75" customHeight="1">
      <c r="A694" s="9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ht="15.75" customHeight="1">
      <c r="A695" s="9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ht="15.75" customHeight="1">
      <c r="A696" s="9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ht="15.75" customHeight="1">
      <c r="A697" s="9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ht="15.75" customHeight="1">
      <c r="A698" s="9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ht="15.75" customHeight="1">
      <c r="A699" s="9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ht="15.75" customHeight="1">
      <c r="A700" s="9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ht="15.75" customHeight="1">
      <c r="A701" s="9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ht="15.75" customHeight="1">
      <c r="A702" s="9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ht="15.75" customHeight="1">
      <c r="A703" s="9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ht="15.75" customHeight="1">
      <c r="A704" s="9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ht="15.75" customHeight="1">
      <c r="A705" s="9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ht="15.75" customHeight="1">
      <c r="A706" s="9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ht="15.75" customHeight="1">
      <c r="A707" s="9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ht="15.75" customHeight="1">
      <c r="A708" s="9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ht="15.75" customHeight="1">
      <c r="A709" s="9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ht="15.75" customHeight="1">
      <c r="A710" s="9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ht="15.75" customHeight="1">
      <c r="A711" s="9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ht="15.75" customHeight="1">
      <c r="A712" s="9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ht="15.75" customHeight="1">
      <c r="A713" s="9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ht="15.75" customHeight="1">
      <c r="A714" s="9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ht="15.75" customHeight="1">
      <c r="A715" s="9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ht="15.75" customHeight="1">
      <c r="A716" s="9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ht="15.75" customHeight="1">
      <c r="A717" s="9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ht="15.75" customHeight="1">
      <c r="A718" s="9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ht="15.75" customHeight="1">
      <c r="A719" s="9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ht="15.75" customHeight="1">
      <c r="A720" s="9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ht="15.75" customHeight="1">
      <c r="A721" s="9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ht="15.75" customHeight="1">
      <c r="A722" s="9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ht="15.75" customHeight="1">
      <c r="A723" s="9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ht="15.75" customHeight="1">
      <c r="A724" s="9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ht="15.75" customHeight="1">
      <c r="A725" s="9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ht="15.75" customHeight="1">
      <c r="A726" s="9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ht="15.75" customHeight="1">
      <c r="A727" s="9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ht="15.75" customHeight="1">
      <c r="A728" s="9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ht="15.75" customHeight="1">
      <c r="A729" s="9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ht="15.75" customHeight="1">
      <c r="A730" s="9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ht="15.75" customHeight="1">
      <c r="A731" s="9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ht="15.75" customHeight="1">
      <c r="A732" s="9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ht="15.75" customHeight="1">
      <c r="A733" s="9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ht="15.75" customHeight="1">
      <c r="A734" s="9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ht="15.75" customHeight="1">
      <c r="A735" s="9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ht="15.75" customHeight="1">
      <c r="A736" s="9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ht="15.75" customHeight="1">
      <c r="A737" s="9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ht="15.75" customHeight="1">
      <c r="A738" s="9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ht="15.75" customHeight="1">
      <c r="A739" s="9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ht="15.75" customHeight="1">
      <c r="A740" s="9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ht="15.75" customHeight="1">
      <c r="A741" s="9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ht="15.75" customHeight="1">
      <c r="A742" s="9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ht="15.75" customHeight="1">
      <c r="A743" s="9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ht="15.75" customHeight="1">
      <c r="A744" s="9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ht="15.75" customHeight="1">
      <c r="A745" s="9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ht="15.75" customHeight="1">
      <c r="A746" s="9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ht="15.75" customHeight="1">
      <c r="A747" s="9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ht="15.75" customHeight="1">
      <c r="A748" s="9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ht="15.75" customHeight="1">
      <c r="A749" s="9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ht="15.75" customHeight="1">
      <c r="A750" s="9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ht="15.75" customHeight="1">
      <c r="A751" s="9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ht="15.75" customHeight="1">
      <c r="A752" s="9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ht="15.75" customHeight="1">
      <c r="A753" s="9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ht="15.75" customHeight="1">
      <c r="A754" s="9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ht="15.75" customHeight="1">
      <c r="A755" s="9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ht="15.75" customHeight="1">
      <c r="A756" s="9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ht="15.75" customHeight="1">
      <c r="A757" s="9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ht="15.75" customHeight="1">
      <c r="A758" s="9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ht="15.75" customHeight="1">
      <c r="A759" s="9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ht="15.75" customHeight="1">
      <c r="A760" s="9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ht="15.75" customHeight="1">
      <c r="A761" s="9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ht="15.75" customHeight="1">
      <c r="A762" s="9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ht="15.75" customHeight="1">
      <c r="A763" s="9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ht="15.75" customHeight="1">
      <c r="A764" s="9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ht="15.75" customHeight="1">
      <c r="A765" s="9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ht="15.75" customHeight="1">
      <c r="A766" s="9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ht="15.75" customHeight="1">
      <c r="A767" s="9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ht="15.75" customHeight="1">
      <c r="A768" s="9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ht="15.75" customHeight="1">
      <c r="A769" s="9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ht="15.75" customHeight="1">
      <c r="A770" s="9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ht="15.75" customHeight="1">
      <c r="A771" s="9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ht="15.75" customHeight="1">
      <c r="A772" s="9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ht="15.75" customHeight="1">
      <c r="A773" s="9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ht="15.75" customHeight="1">
      <c r="A774" s="9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ht="15.75" customHeight="1">
      <c r="A775" s="9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ht="15.75" customHeight="1">
      <c r="A776" s="9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ht="15.75" customHeight="1">
      <c r="A777" s="9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ht="15.75" customHeight="1">
      <c r="A778" s="9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ht="15.75" customHeight="1">
      <c r="A779" s="9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ht="15.75" customHeight="1">
      <c r="A780" s="9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ht="15.75" customHeight="1">
      <c r="A781" s="9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ht="15.75" customHeight="1">
      <c r="A782" s="9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ht="15.75" customHeight="1">
      <c r="A783" s="9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ht="15.75" customHeight="1">
      <c r="A784" s="9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ht="15.75" customHeight="1">
      <c r="A785" s="9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ht="15.75" customHeight="1">
      <c r="A786" s="9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ht="15.75" customHeight="1">
      <c r="A787" s="9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ht="15.75" customHeight="1">
      <c r="A788" s="9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ht="15.75" customHeight="1">
      <c r="A789" s="9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ht="15.75" customHeight="1">
      <c r="A790" s="9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ht="15.75" customHeight="1">
      <c r="A791" s="9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ht="15.75" customHeight="1">
      <c r="A792" s="9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ht="15.75" customHeight="1">
      <c r="A793" s="9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ht="15.75" customHeight="1">
      <c r="A794" s="9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ht="15.75" customHeight="1">
      <c r="A795" s="9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ht="15.75" customHeight="1">
      <c r="A796" s="9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ht="15.75" customHeight="1">
      <c r="A797" s="9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ht="15.75" customHeight="1">
      <c r="A798" s="9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ht="15.75" customHeight="1">
      <c r="A799" s="9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ht="15.75" customHeight="1">
      <c r="A800" s="9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ht="15.75" customHeight="1">
      <c r="A801" s="9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ht="15.75" customHeight="1">
      <c r="A802" s="9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ht="15.75" customHeight="1">
      <c r="A803" s="9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ht="15.75" customHeight="1">
      <c r="A804" s="9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ht="15.75" customHeight="1">
      <c r="A805" s="9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ht="15.75" customHeight="1">
      <c r="A806" s="9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ht="15.75" customHeight="1">
      <c r="A807" s="9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ht="15.75" customHeight="1">
      <c r="A808" s="9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ht="15.75" customHeight="1">
      <c r="A809" s="9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ht="15.75" customHeight="1">
      <c r="A810" s="9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ht="15.75" customHeight="1">
      <c r="A811" s="9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ht="15.75" customHeight="1">
      <c r="A812" s="9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ht="15.75" customHeight="1">
      <c r="A813" s="9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ht="15.75" customHeight="1">
      <c r="A814" s="9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ht="15.75" customHeight="1">
      <c r="A815" s="9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ht="15.75" customHeight="1">
      <c r="A816" s="9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ht="15.75" customHeight="1">
      <c r="A817" s="9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ht="15.75" customHeight="1">
      <c r="A818" s="9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ht="15.75" customHeight="1">
      <c r="A819" s="9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ht="15.75" customHeight="1">
      <c r="A820" s="9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ht="15.75" customHeight="1">
      <c r="A821" s="9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ht="15.75" customHeight="1">
      <c r="A822" s="9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ht="15.75" customHeight="1">
      <c r="A823" s="9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ht="15.75" customHeight="1">
      <c r="A824" s="9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ht="15.75" customHeight="1">
      <c r="A825" s="9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ht="15.75" customHeight="1">
      <c r="A826" s="9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ht="15.75" customHeight="1">
      <c r="A827" s="9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ht="15.75" customHeight="1">
      <c r="A828" s="9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ht="15.75" customHeight="1">
      <c r="A829" s="9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ht="15.75" customHeight="1">
      <c r="A830" s="9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ht="15.75" customHeight="1">
      <c r="A831" s="9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ht="15.75" customHeight="1">
      <c r="A832" s="9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ht="15.75" customHeight="1">
      <c r="A833" s="9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ht="15.75" customHeight="1">
      <c r="A834" s="9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ht="15.75" customHeight="1">
      <c r="A835" s="9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ht="15.75" customHeight="1">
      <c r="A836" s="9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ht="15.75" customHeight="1">
      <c r="A837" s="9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ht="15.75" customHeight="1">
      <c r="A838" s="9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ht="15.75" customHeight="1">
      <c r="A839" s="9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ht="15.75" customHeight="1">
      <c r="A840" s="9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ht="15.75" customHeight="1">
      <c r="A841" s="9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ht="15.75" customHeight="1">
      <c r="A842" s="9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ht="15.75" customHeight="1">
      <c r="A843" s="9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ht="15.75" customHeight="1">
      <c r="A844" s="9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ht="15.75" customHeight="1">
      <c r="A845" s="9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ht="15.75" customHeight="1">
      <c r="A846" s="9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ht="15.75" customHeight="1">
      <c r="A847" s="9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ht="15.75" customHeight="1">
      <c r="A848" s="9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ht="15.75" customHeight="1">
      <c r="A849" s="9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ht="15.75" customHeight="1">
      <c r="A850" s="9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ht="15.75" customHeight="1">
      <c r="A851" s="9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ht="15.75" customHeight="1">
      <c r="A852" s="9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ht="15.75" customHeight="1">
      <c r="A853" s="9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ht="15.75" customHeight="1">
      <c r="A854" s="9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ht="15.75" customHeight="1">
      <c r="A855" s="9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ht="15.75" customHeight="1">
      <c r="A856" s="9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ht="15.75" customHeight="1">
      <c r="A857" s="9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ht="15.75" customHeight="1">
      <c r="A858" s="9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ht="15.75" customHeight="1">
      <c r="A859" s="9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ht="15.75" customHeight="1">
      <c r="A860" s="9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ht="15.75" customHeight="1">
      <c r="A861" s="9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ht="15.75" customHeight="1">
      <c r="A862" s="9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ht="15.75" customHeight="1">
      <c r="A863" s="9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ht="15.75" customHeight="1">
      <c r="A864" s="9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ht="15.75" customHeight="1">
      <c r="A865" s="9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ht="15.75" customHeight="1">
      <c r="A866" s="9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ht="15.75" customHeight="1">
      <c r="A867" s="9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ht="15.75" customHeight="1">
      <c r="A868" s="9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ht="15.75" customHeight="1">
      <c r="A869" s="9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ht="15.75" customHeight="1">
      <c r="A870" s="9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ht="15.75" customHeight="1">
      <c r="A871" s="9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ht="15.75" customHeight="1">
      <c r="A872" s="9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ht="15.75" customHeight="1">
      <c r="A873" s="9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ht="15.75" customHeight="1">
      <c r="A874" s="9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ht="15.75" customHeight="1">
      <c r="A875" s="9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ht="15.75" customHeight="1">
      <c r="A876" s="9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ht="15.75" customHeight="1">
      <c r="A877" s="9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ht="15.75" customHeight="1">
      <c r="A878" s="9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ht="15.75" customHeight="1">
      <c r="A879" s="9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ht="15.75" customHeight="1">
      <c r="A880" s="9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ht="15.75" customHeight="1">
      <c r="A881" s="9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ht="15.75" customHeight="1">
      <c r="A882" s="9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ht="15.75" customHeight="1">
      <c r="A883" s="9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ht="15.75" customHeight="1">
      <c r="A884" s="9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ht="15.75" customHeight="1">
      <c r="A885" s="9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ht="15.75" customHeight="1">
      <c r="A886" s="9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ht="15.75" customHeight="1">
      <c r="A887" s="9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ht="15.75" customHeight="1">
      <c r="A888" s="9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ht="15.75" customHeight="1">
      <c r="A889" s="9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ht="15.75" customHeight="1">
      <c r="A890" s="9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ht="15.75" customHeight="1">
      <c r="A891" s="9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ht="15.75" customHeight="1">
      <c r="A892" s="9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ht="15.75" customHeight="1">
      <c r="A893" s="9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ht="15.75" customHeight="1">
      <c r="A894" s="9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ht="15.75" customHeight="1">
      <c r="A895" s="9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ht="15.75" customHeight="1">
      <c r="A896" s="9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ht="15.75" customHeight="1">
      <c r="A897" s="9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ht="15.75" customHeight="1">
      <c r="A898" s="9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ht="15.75" customHeight="1">
      <c r="A899" s="9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ht="15.75" customHeight="1">
      <c r="A900" s="9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ht="15.75" customHeight="1">
      <c r="A901" s="9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ht="15.75" customHeight="1">
      <c r="A902" s="9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ht="15.75" customHeight="1">
      <c r="A903" s="9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ht="15.75" customHeight="1">
      <c r="A904" s="9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ht="15.75" customHeight="1">
      <c r="A905" s="9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ht="15.75" customHeight="1">
      <c r="A906" s="9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ht="15.75" customHeight="1">
      <c r="A907" s="9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ht="15.75" customHeight="1">
      <c r="A908" s="9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ht="15.75" customHeight="1">
      <c r="A909" s="9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ht="15.75" customHeight="1">
      <c r="A910" s="9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ht="15.75" customHeight="1">
      <c r="A911" s="9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ht="15.75" customHeight="1">
      <c r="A912" s="9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ht="15.75" customHeight="1">
      <c r="A913" s="9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ht="15.75" customHeight="1">
      <c r="A914" s="9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ht="15.75" customHeight="1">
      <c r="A915" s="9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ht="15.75" customHeight="1">
      <c r="A916" s="9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ht="15.75" customHeight="1">
      <c r="A917" s="9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ht="15.75" customHeight="1">
      <c r="A918" s="9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ht="15.75" customHeight="1">
      <c r="A919" s="9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ht="15.75" customHeight="1">
      <c r="A920" s="9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ht="15.75" customHeight="1">
      <c r="A921" s="9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ht="15.75" customHeight="1">
      <c r="A922" s="9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ht="15.75" customHeight="1">
      <c r="A923" s="9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ht="15.75" customHeight="1">
      <c r="A924" s="9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ht="15.75" customHeight="1">
      <c r="A925" s="9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ht="15.75" customHeight="1">
      <c r="A926" s="9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ht="15.75" customHeight="1">
      <c r="A927" s="9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ht="15.75" customHeight="1">
      <c r="A928" s="9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ht="15.75" customHeight="1">
      <c r="A929" s="9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ht="15.75" customHeight="1">
      <c r="A930" s="9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ht="15.75" customHeight="1">
      <c r="A931" s="9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ht="15.75" customHeight="1">
      <c r="A932" s="9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ht="15.75" customHeight="1">
      <c r="A933" s="9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ht="15.75" customHeight="1">
      <c r="A934" s="9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ht="15.75" customHeight="1">
      <c r="A935" s="9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ht="15.75" customHeight="1">
      <c r="A936" s="9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ht="15.75" customHeight="1">
      <c r="A937" s="9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ht="15.75" customHeight="1">
      <c r="A938" s="9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ht="15.75" customHeight="1">
      <c r="A939" s="9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ht="15.75" customHeight="1">
      <c r="A940" s="9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ht="15.75" customHeight="1">
      <c r="A941" s="9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ht="15.75" customHeight="1">
      <c r="A942" s="9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ht="15.75" customHeight="1">
      <c r="A943" s="9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ht="15.75" customHeight="1">
      <c r="A944" s="9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ht="15.75" customHeight="1">
      <c r="A945" s="9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ht="15.75" customHeight="1">
      <c r="A946" s="9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ht="15.75" customHeight="1">
      <c r="A947" s="9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ht="15.75" customHeight="1">
      <c r="A948" s="9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ht="15.75" customHeight="1">
      <c r="A949" s="9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ht="15.75" customHeight="1">
      <c r="A950" s="9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ht="15.75" customHeight="1">
      <c r="A951" s="9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ht="15.75" customHeight="1">
      <c r="A952" s="9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ht="15.75" customHeight="1">
      <c r="A953" s="9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ht="15.75" customHeight="1">
      <c r="A954" s="9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ht="15.75" customHeight="1">
      <c r="A955" s="9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ht="15.75" customHeight="1">
      <c r="A956" s="9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ht="15.75" customHeight="1">
      <c r="A957" s="9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ht="15.75" customHeight="1">
      <c r="A958" s="9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ht="15.75" customHeight="1">
      <c r="A959" s="9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ht="15.75" customHeight="1">
      <c r="A960" s="9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ht="15.75" customHeight="1">
      <c r="A961" s="9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ht="15.75" customHeight="1">
      <c r="A962" s="9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ht="15.75" customHeight="1">
      <c r="A963" s="9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ht="15.75" customHeight="1">
      <c r="A964" s="9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ht="15.75" customHeight="1">
      <c r="A965" s="9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ht="15.75" customHeight="1">
      <c r="A966" s="9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ht="15.75" customHeight="1">
      <c r="A967" s="9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ht="15.75" customHeight="1">
      <c r="A968" s="9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ht="15.75" customHeight="1">
      <c r="A969" s="9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ht="15.75" customHeight="1">
      <c r="A970" s="9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ht="15.75" customHeight="1">
      <c r="A971" s="9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ht="15.75" customHeight="1">
      <c r="A972" s="9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ht="15.75" customHeight="1">
      <c r="A973" s="9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ht="15.75" customHeight="1">
      <c r="A974" s="9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ht="15.75" customHeight="1">
      <c r="A975" s="9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ht="15.75" customHeight="1">
      <c r="A976" s="9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ht="15.75" customHeight="1">
      <c r="A977" s="9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ht="15.75" customHeight="1">
      <c r="A978" s="9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ht="15.75" customHeight="1">
      <c r="A979" s="9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ht="15.75" customHeight="1">
      <c r="A980" s="9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ht="15.75" customHeight="1">
      <c r="A981" s="9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ht="15.75" customHeight="1">
      <c r="A982" s="9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ht="15.75" customHeight="1">
      <c r="A983" s="9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ht="15.75" customHeight="1">
      <c r="A984" s="9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ht="15.75" customHeight="1">
      <c r="A985" s="9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ht="15.75" customHeight="1">
      <c r="A986" s="9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ht="15.75" customHeight="1">
      <c r="A987" s="9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ht="15.75" customHeight="1">
      <c r="A988" s="9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ht="15.75" customHeight="1">
      <c r="A989" s="9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ht="15.75" customHeight="1">
      <c r="A990" s="9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ht="15.75" customHeight="1">
      <c r="A991" s="9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ht="15.75" customHeight="1">
      <c r="A992" s="9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ht="15.75" customHeight="1">
      <c r="A993" s="9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ht="15.75" customHeight="1">
      <c r="A994" s="9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ht="15.75" customHeight="1">
      <c r="A995" s="9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ht="15.75" customHeight="1">
      <c r="A996" s="9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ht="15.75" customHeight="1">
      <c r="A997" s="9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ht="15.75" customHeight="1">
      <c r="A998" s="9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ht="15.75" customHeight="1">
      <c r="A999" s="9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ht="15.75" customHeight="1">
      <c r="A1000" s="9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  <row r="1001" ht="15.75" customHeight="1">
      <c r="A1001" s="9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</row>
  </sheetData>
  <mergeCells count="36">
    <mergeCell ref="R7:T9"/>
    <mergeCell ref="U7:X7"/>
    <mergeCell ref="U8:X8"/>
    <mergeCell ref="U9:X9"/>
    <mergeCell ref="Y7:AA7"/>
    <mergeCell ref="Y8:AA8"/>
    <mergeCell ref="J9:M10"/>
    <mergeCell ref="N9:O10"/>
    <mergeCell ref="J11:M12"/>
    <mergeCell ref="N11:O12"/>
    <mergeCell ref="A18:A29"/>
    <mergeCell ref="B18:B23"/>
    <mergeCell ref="B24:B26"/>
    <mergeCell ref="B27:B29"/>
    <mergeCell ref="A1:AA6"/>
    <mergeCell ref="A7:B12"/>
    <mergeCell ref="C7:C12"/>
    <mergeCell ref="F7:G12"/>
    <mergeCell ref="H7:I12"/>
    <mergeCell ref="J7:M8"/>
    <mergeCell ref="N7:O8"/>
    <mergeCell ref="R10:T12"/>
    <mergeCell ref="R14:U14"/>
    <mergeCell ref="V14:X14"/>
    <mergeCell ref="Y14:Z14"/>
    <mergeCell ref="A16:B16"/>
    <mergeCell ref="AE16:AI16"/>
    <mergeCell ref="AK16:AO16"/>
    <mergeCell ref="A17:AA17"/>
    <mergeCell ref="Y9:AA9"/>
    <mergeCell ref="U10:X10"/>
    <mergeCell ref="Y10:AA10"/>
    <mergeCell ref="U11:X11"/>
    <mergeCell ref="Y11:AA11"/>
    <mergeCell ref="U12:X12"/>
    <mergeCell ref="Y12:AA1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7.5"/>
    <col customWidth="1" min="3" max="3" width="14.88"/>
    <col customWidth="1" min="4" max="18" width="7.5"/>
    <col customWidth="1" min="19" max="19" width="8.5"/>
    <col customWidth="1" min="20" max="22" width="7.5"/>
    <col customWidth="1" min="23" max="23" width="8.25"/>
    <col customWidth="1" min="24" max="26" width="7.5"/>
    <col customWidth="1" min="27" max="27" width="8.5"/>
    <col customWidth="1" min="28" max="28" width="11.0"/>
    <col customWidth="1" min="29" max="29" width="7.88"/>
    <col customWidth="1" min="30" max="30" width="0.88"/>
    <col customWidth="1" min="31" max="31" width="15.5"/>
    <col customWidth="1" min="32" max="41" width="7.88"/>
  </cols>
  <sheetData>
    <row r="1" ht="15.0" customHeight="1">
      <c r="A1" s="95" t="s">
        <v>51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.0" customHeight="1"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15.0" customHeight="1"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15.0" customHeight="1"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ht="15.0" customHeight="1"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ht="15.0" customHeight="1"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ht="15.75" customHeight="1">
      <c r="A7" s="96" t="s">
        <v>1</v>
      </c>
      <c r="B7" s="4"/>
      <c r="C7" s="113">
        <v>120.0</v>
      </c>
      <c r="D7" s="6"/>
      <c r="E7" s="163"/>
      <c r="F7" s="164" t="s">
        <v>2</v>
      </c>
      <c r="G7" s="122"/>
      <c r="H7" s="9" t="str">
        <f>A18</f>
        <v>TOEIC</v>
      </c>
      <c r="I7" s="10"/>
      <c r="J7" s="165" t="str">
        <f>B18</f>
        <v>TOEIC Regular</v>
      </c>
      <c r="K7" s="42"/>
      <c r="L7" s="42"/>
      <c r="M7" s="10"/>
      <c r="N7" s="123">
        <v>1040.0</v>
      </c>
      <c r="O7" s="10"/>
      <c r="P7" s="134"/>
      <c r="Q7" s="6"/>
      <c r="R7" s="14" t="s">
        <v>3</v>
      </c>
      <c r="S7" s="12"/>
      <c r="T7" s="4"/>
      <c r="U7" s="15" t="s">
        <v>4</v>
      </c>
      <c r="V7" s="16"/>
      <c r="W7" s="16"/>
      <c r="X7" s="17"/>
      <c r="Y7" s="18">
        <v>1400.0</v>
      </c>
      <c r="Z7" s="16"/>
      <c r="AA7" s="19"/>
      <c r="AB7" s="20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ht="15.75" customHeight="1">
      <c r="A8" s="21"/>
      <c r="B8" s="22"/>
      <c r="C8" s="23"/>
      <c r="D8" s="24"/>
      <c r="E8" s="53"/>
      <c r="F8" s="25"/>
      <c r="G8" s="26"/>
      <c r="H8" s="25"/>
      <c r="I8" s="22"/>
      <c r="J8" s="37"/>
      <c r="K8" s="38"/>
      <c r="L8" s="38"/>
      <c r="M8" s="39"/>
      <c r="N8" s="37"/>
      <c r="O8" s="39"/>
      <c r="P8" s="40"/>
      <c r="Q8" s="24"/>
      <c r="R8" s="25"/>
      <c r="T8" s="22"/>
      <c r="U8" s="30" t="s">
        <v>5</v>
      </c>
      <c r="V8" s="31"/>
      <c r="W8" s="31"/>
      <c r="X8" s="32"/>
      <c r="Y8" s="33">
        <v>970.0</v>
      </c>
      <c r="Z8" s="31"/>
      <c r="AA8" s="34"/>
      <c r="AB8" s="20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ht="15.75" customHeight="1">
      <c r="A9" s="21"/>
      <c r="B9" s="22"/>
      <c r="C9" s="23"/>
      <c r="D9" s="24"/>
      <c r="E9" s="53"/>
      <c r="F9" s="25"/>
      <c r="G9" s="26"/>
      <c r="H9" s="37"/>
      <c r="I9" s="39"/>
      <c r="J9" s="166" t="s">
        <v>62</v>
      </c>
      <c r="K9" s="31"/>
      <c r="L9" s="31"/>
      <c r="M9" s="32"/>
      <c r="N9" s="167">
        <v>1200.0</v>
      </c>
      <c r="O9" s="32"/>
      <c r="P9" s="40"/>
      <c r="Q9" s="24"/>
      <c r="R9" s="37"/>
      <c r="S9" s="38"/>
      <c r="T9" s="39"/>
      <c r="U9" s="30" t="s">
        <v>6</v>
      </c>
      <c r="V9" s="31"/>
      <c r="W9" s="31"/>
      <c r="X9" s="32"/>
      <c r="Y9" s="33">
        <v>810.0</v>
      </c>
      <c r="Z9" s="31"/>
      <c r="AA9" s="34"/>
      <c r="AB9" s="20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ht="15.75" customHeight="1">
      <c r="A10" s="21"/>
      <c r="B10" s="22"/>
      <c r="C10" s="23"/>
      <c r="D10" s="24"/>
      <c r="E10" s="53"/>
      <c r="F10" s="25"/>
      <c r="G10" s="26"/>
      <c r="H10" s="9" t="s">
        <v>63</v>
      </c>
      <c r="I10" s="10"/>
      <c r="J10" s="166" t="s">
        <v>64</v>
      </c>
      <c r="K10" s="31"/>
      <c r="L10" s="31"/>
      <c r="M10" s="32"/>
      <c r="N10" s="167">
        <v>1190.0</v>
      </c>
      <c r="O10" s="32"/>
      <c r="P10" s="40"/>
      <c r="Q10" s="24"/>
      <c r="R10" s="41" t="s">
        <v>7</v>
      </c>
      <c r="S10" s="42"/>
      <c r="T10" s="10"/>
      <c r="U10" s="43" t="s">
        <v>8</v>
      </c>
      <c r="V10" s="31"/>
      <c r="W10" s="31"/>
      <c r="X10" s="32"/>
      <c r="Y10" s="44">
        <v>1690.0</v>
      </c>
      <c r="Z10" s="31"/>
      <c r="AA10" s="34"/>
      <c r="AB10" s="20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ht="15.75" customHeight="1">
      <c r="A11" s="21"/>
      <c r="B11" s="22"/>
      <c r="C11" s="23"/>
      <c r="D11" s="45"/>
      <c r="E11" s="168"/>
      <c r="F11" s="25"/>
      <c r="G11" s="26"/>
      <c r="H11" s="25"/>
      <c r="I11" s="22"/>
      <c r="J11" s="166" t="s">
        <v>65</v>
      </c>
      <c r="K11" s="31"/>
      <c r="L11" s="31"/>
      <c r="M11" s="32"/>
      <c r="N11" s="167">
        <v>1060.0</v>
      </c>
      <c r="O11" s="32"/>
      <c r="P11" s="40"/>
      <c r="Q11" s="24"/>
      <c r="R11" s="25"/>
      <c r="T11" s="22"/>
      <c r="U11" s="43" t="s">
        <v>10</v>
      </c>
      <c r="V11" s="31"/>
      <c r="W11" s="31"/>
      <c r="X11" s="32"/>
      <c r="Y11" s="44">
        <v>1100.0</v>
      </c>
      <c r="Z11" s="31"/>
      <c r="AA11" s="34"/>
      <c r="AB11" s="20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ht="15.75" customHeight="1">
      <c r="A12" s="49"/>
      <c r="B12" s="39"/>
      <c r="C12" s="50"/>
      <c r="D12" s="45"/>
      <c r="E12" s="168"/>
      <c r="F12" s="37"/>
      <c r="G12" s="52"/>
      <c r="H12" s="37"/>
      <c r="I12" s="39"/>
      <c r="J12" s="166" t="s">
        <v>66</v>
      </c>
      <c r="K12" s="31"/>
      <c r="L12" s="31"/>
      <c r="M12" s="32"/>
      <c r="N12" s="167">
        <v>1110.0</v>
      </c>
      <c r="O12" s="32"/>
      <c r="P12" s="40"/>
      <c r="Q12" s="24"/>
      <c r="R12" s="37"/>
      <c r="S12" s="38"/>
      <c r="T12" s="39"/>
      <c r="U12" s="43" t="s">
        <v>11</v>
      </c>
      <c r="V12" s="31"/>
      <c r="W12" s="31"/>
      <c r="X12" s="32"/>
      <c r="Y12" s="44">
        <v>890.0</v>
      </c>
      <c r="Z12" s="31"/>
      <c r="AA12" s="34"/>
      <c r="AB12" s="20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ht="19.5" customHeight="1">
      <c r="A13" s="133"/>
      <c r="B13" s="134"/>
      <c r="C13" s="6"/>
      <c r="D13" s="24"/>
      <c r="E13" s="53"/>
      <c r="F13" s="163"/>
      <c r="G13" s="163"/>
      <c r="H13" s="24"/>
      <c r="I13" s="24"/>
      <c r="J13" s="134"/>
      <c r="K13" s="134"/>
      <c r="L13" s="134"/>
      <c r="M13" s="134"/>
      <c r="N13" s="6"/>
      <c r="O13" s="6"/>
      <c r="P13" s="40"/>
      <c r="Q13" s="24"/>
      <c r="R13" s="24"/>
      <c r="S13" s="24"/>
      <c r="T13" s="24"/>
      <c r="U13" s="24"/>
      <c r="V13" s="24"/>
      <c r="W13" s="24"/>
      <c r="X13" s="24"/>
      <c r="Y13" s="53"/>
      <c r="Z13" s="53"/>
      <c r="AA13" s="53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ht="19.5" customHeight="1">
      <c r="A14" s="51"/>
      <c r="B14" s="24"/>
      <c r="C14" s="24"/>
      <c r="D14" s="24"/>
      <c r="E14" s="24"/>
      <c r="F14" s="6"/>
      <c r="G14" s="6"/>
      <c r="H14" s="24"/>
      <c r="I14" s="24"/>
      <c r="J14" s="6"/>
      <c r="K14" s="6"/>
      <c r="L14" s="6"/>
      <c r="M14" s="6"/>
      <c r="N14" s="6"/>
      <c r="O14" s="6"/>
      <c r="P14" s="24"/>
      <c r="Q14" s="24"/>
      <c r="R14" s="58" t="s">
        <v>12</v>
      </c>
      <c r="S14" s="31"/>
      <c r="T14" s="31"/>
      <c r="U14" s="32"/>
      <c r="V14" s="59" t="s">
        <v>13</v>
      </c>
      <c r="W14" s="31"/>
      <c r="X14" s="32"/>
      <c r="Y14" s="60" t="s">
        <v>14</v>
      </c>
      <c r="Z14" s="32"/>
      <c r="AA14" s="53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ht="19.5" customHeight="1">
      <c r="A15" s="51"/>
      <c r="B15" s="24"/>
      <c r="C15" s="24"/>
      <c r="D15" s="61">
        <v>0.45</v>
      </c>
      <c r="E15" s="61">
        <v>0.65</v>
      </c>
      <c r="F15" s="61">
        <v>0.85</v>
      </c>
      <c r="G15" s="24"/>
      <c r="H15" s="62"/>
      <c r="I15" s="6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53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ht="22.5" customHeight="1">
      <c r="A16" s="137" t="s">
        <v>15</v>
      </c>
      <c r="B16" s="32"/>
      <c r="C16" s="138" t="s">
        <v>16</v>
      </c>
      <c r="D16" s="138" t="s">
        <v>17</v>
      </c>
      <c r="E16" s="138" t="s">
        <v>18</v>
      </c>
      <c r="F16" s="138" t="s">
        <v>19</v>
      </c>
      <c r="G16" s="138" t="s">
        <v>20</v>
      </c>
      <c r="H16" s="138" t="s">
        <v>21</v>
      </c>
      <c r="I16" s="138" t="s">
        <v>22</v>
      </c>
      <c r="J16" s="138" t="s">
        <v>23</v>
      </c>
      <c r="K16" s="138" t="s">
        <v>24</v>
      </c>
      <c r="L16" s="138" t="s">
        <v>25</v>
      </c>
      <c r="M16" s="138" t="s">
        <v>26</v>
      </c>
      <c r="N16" s="138" t="s">
        <v>27</v>
      </c>
      <c r="O16" s="138" t="s">
        <v>28</v>
      </c>
      <c r="P16" s="138" t="s">
        <v>29</v>
      </c>
      <c r="Q16" s="138" t="s">
        <v>30</v>
      </c>
      <c r="R16" s="138" t="s">
        <v>31</v>
      </c>
      <c r="S16" s="138" t="s">
        <v>32</v>
      </c>
      <c r="T16" s="138" t="s">
        <v>33</v>
      </c>
      <c r="U16" s="138" t="s">
        <v>34</v>
      </c>
      <c r="V16" s="138" t="s">
        <v>35</v>
      </c>
      <c r="W16" s="138" t="s">
        <v>36</v>
      </c>
      <c r="X16" s="138" t="s">
        <v>37</v>
      </c>
      <c r="Y16" s="138" t="s">
        <v>38</v>
      </c>
      <c r="Z16" s="138" t="s">
        <v>39</v>
      </c>
      <c r="AA16" s="139" t="s">
        <v>40</v>
      </c>
      <c r="AB16" s="140"/>
      <c r="AC16" s="140"/>
      <c r="AD16" s="140"/>
      <c r="AE16" s="169" t="s">
        <v>41</v>
      </c>
      <c r="AF16" s="69"/>
      <c r="AG16" s="69"/>
      <c r="AH16" s="69"/>
      <c r="AI16" s="69"/>
      <c r="AJ16" s="140"/>
      <c r="AK16" s="169" t="s">
        <v>42</v>
      </c>
      <c r="AL16" s="69"/>
      <c r="AM16" s="69"/>
      <c r="AN16" s="69"/>
      <c r="AO16" s="69"/>
    </row>
    <row r="17" ht="4.5" customHeight="1">
      <c r="A17" s="7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ht="21.75" customHeight="1">
      <c r="A18" s="170" t="s">
        <v>67</v>
      </c>
      <c r="B18" s="171" t="s">
        <v>68</v>
      </c>
      <c r="C18" s="172" t="s">
        <v>4</v>
      </c>
      <c r="D18" s="173">
        <f>G18*D15</f>
        <v>1098</v>
      </c>
      <c r="E18" s="174">
        <f>G18*E15</f>
        <v>1586</v>
      </c>
      <c r="F18" s="174">
        <f>G18*F15</f>
        <v>2074</v>
      </c>
      <c r="G18" s="175">
        <f>N7+Y7</f>
        <v>2440</v>
      </c>
      <c r="H18" s="174">
        <f t="shared" ref="H18:H23" si="1">G18+(G18*0.25)</f>
        <v>3050</v>
      </c>
      <c r="I18" s="174">
        <f t="shared" ref="I18:I23" si="2">G18+(G18*0.5)</f>
        <v>3660</v>
      </c>
      <c r="J18" s="174">
        <f t="shared" ref="J18:J23" si="3">G18+(G18*0.75)</f>
        <v>4270</v>
      </c>
      <c r="K18" s="175">
        <f t="shared" ref="K18:K23" si="4">G18*2</f>
        <v>4880</v>
      </c>
      <c r="L18" s="174">
        <f t="shared" ref="L18:L23" si="5">K18+(G18*0.25)</f>
        <v>5490</v>
      </c>
      <c r="M18" s="174">
        <f t="shared" ref="M18:M23" si="6">K18+(G18*0.5)</f>
        <v>6100</v>
      </c>
      <c r="N18" s="174">
        <f t="shared" ref="N18:N23" si="7">K18+(G18*0.75)</f>
        <v>6710</v>
      </c>
      <c r="O18" s="175">
        <f t="shared" ref="O18:O23" si="8">G18*3</f>
        <v>7320</v>
      </c>
      <c r="P18" s="174">
        <f t="shared" ref="P18:P23" si="9">O18+(G18*0.25)</f>
        <v>7930</v>
      </c>
      <c r="Q18" s="174">
        <f t="shared" ref="Q18:Q23" si="10">O18+(G18*0.5)</f>
        <v>8540</v>
      </c>
      <c r="R18" s="174">
        <f t="shared" ref="R18:R23" si="11">O18+(G18*0.75)</f>
        <v>9150</v>
      </c>
      <c r="S18" s="175">
        <f t="shared" ref="S18:S23" si="12">G18*4</f>
        <v>9760</v>
      </c>
      <c r="T18" s="174">
        <f t="shared" ref="T18:T23" si="13">S18+(G18*0.25)</f>
        <v>10370</v>
      </c>
      <c r="U18" s="174">
        <f t="shared" ref="U18:U23" si="14">S18+(G18*0.5)</f>
        <v>10980</v>
      </c>
      <c r="V18" s="174">
        <f t="shared" ref="V18:V23" si="15">S18+(G18*0.75)</f>
        <v>11590</v>
      </c>
      <c r="W18" s="175">
        <f t="shared" ref="W18:W23" si="16">G18*5</f>
        <v>12200</v>
      </c>
      <c r="X18" s="174">
        <f t="shared" ref="X18:X23" si="17">W18+(G18*0.25)</f>
        <v>12810</v>
      </c>
      <c r="Y18" s="174">
        <f t="shared" ref="Y18:Y23" si="18">W18+(G18*0.5)</f>
        <v>13420</v>
      </c>
      <c r="Z18" s="174">
        <f t="shared" ref="Z18:Z23" si="19">W18+(G18*0.75)</f>
        <v>14030</v>
      </c>
      <c r="AA18" s="176">
        <f t="shared" ref="AA18:AA23" si="20">G18*6</f>
        <v>14640</v>
      </c>
      <c r="AB18" s="20"/>
      <c r="AC18" s="20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ht="21.75" customHeight="1">
      <c r="A19" s="81"/>
      <c r="B19" s="23"/>
      <c r="C19" s="177" t="s">
        <v>45</v>
      </c>
      <c r="D19" s="178">
        <f>G19*D15</f>
        <v>904.5</v>
      </c>
      <c r="E19" s="178">
        <f>G19*E15</f>
        <v>1306.5</v>
      </c>
      <c r="F19" s="178">
        <f>G19*F15</f>
        <v>1708.5</v>
      </c>
      <c r="G19" s="179">
        <f>N7+Y8</f>
        <v>2010</v>
      </c>
      <c r="H19" s="178">
        <f t="shared" si="1"/>
        <v>2512.5</v>
      </c>
      <c r="I19" s="178">
        <f t="shared" si="2"/>
        <v>3015</v>
      </c>
      <c r="J19" s="178">
        <f t="shared" si="3"/>
        <v>3517.5</v>
      </c>
      <c r="K19" s="179">
        <f t="shared" si="4"/>
        <v>4020</v>
      </c>
      <c r="L19" s="178">
        <f t="shared" si="5"/>
        <v>4522.5</v>
      </c>
      <c r="M19" s="178">
        <f t="shared" si="6"/>
        <v>5025</v>
      </c>
      <c r="N19" s="178">
        <f t="shared" si="7"/>
        <v>5527.5</v>
      </c>
      <c r="O19" s="179">
        <f t="shared" si="8"/>
        <v>6030</v>
      </c>
      <c r="P19" s="178">
        <f t="shared" si="9"/>
        <v>6532.5</v>
      </c>
      <c r="Q19" s="178">
        <f t="shared" si="10"/>
        <v>7035</v>
      </c>
      <c r="R19" s="178">
        <f t="shared" si="11"/>
        <v>7537.5</v>
      </c>
      <c r="S19" s="179">
        <f t="shared" si="12"/>
        <v>8040</v>
      </c>
      <c r="T19" s="178">
        <f t="shared" si="13"/>
        <v>8542.5</v>
      </c>
      <c r="U19" s="178">
        <f t="shared" si="14"/>
        <v>9045</v>
      </c>
      <c r="V19" s="178">
        <f t="shared" si="15"/>
        <v>9547.5</v>
      </c>
      <c r="W19" s="179">
        <f t="shared" si="16"/>
        <v>10050</v>
      </c>
      <c r="X19" s="178">
        <f t="shared" si="17"/>
        <v>10552.5</v>
      </c>
      <c r="Y19" s="178">
        <f t="shared" si="18"/>
        <v>11055</v>
      </c>
      <c r="Z19" s="178">
        <f t="shared" si="19"/>
        <v>11557.5</v>
      </c>
      <c r="AA19" s="178">
        <f t="shared" si="20"/>
        <v>12060</v>
      </c>
      <c r="AB19" s="20"/>
      <c r="AC19" s="20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ht="21.75" customHeight="1">
      <c r="A20" s="81"/>
      <c r="B20" s="23"/>
      <c r="C20" s="180" t="s">
        <v>6</v>
      </c>
      <c r="D20" s="181">
        <f>G20*D15</f>
        <v>832.5</v>
      </c>
      <c r="E20" s="181">
        <f>G20*E15</f>
        <v>1202.5</v>
      </c>
      <c r="F20" s="181">
        <f>G20*F15</f>
        <v>1572.5</v>
      </c>
      <c r="G20" s="182">
        <f>N7+Y9</f>
        <v>1850</v>
      </c>
      <c r="H20" s="181">
        <f t="shared" si="1"/>
        <v>2312.5</v>
      </c>
      <c r="I20" s="181">
        <f t="shared" si="2"/>
        <v>2775</v>
      </c>
      <c r="J20" s="181">
        <f t="shared" si="3"/>
        <v>3237.5</v>
      </c>
      <c r="K20" s="182">
        <f t="shared" si="4"/>
        <v>3700</v>
      </c>
      <c r="L20" s="181">
        <f t="shared" si="5"/>
        <v>4162.5</v>
      </c>
      <c r="M20" s="181">
        <f t="shared" si="6"/>
        <v>4625</v>
      </c>
      <c r="N20" s="181">
        <f t="shared" si="7"/>
        <v>5087.5</v>
      </c>
      <c r="O20" s="182">
        <f t="shared" si="8"/>
        <v>5550</v>
      </c>
      <c r="P20" s="181">
        <f t="shared" si="9"/>
        <v>6012.5</v>
      </c>
      <c r="Q20" s="181">
        <f t="shared" si="10"/>
        <v>6475</v>
      </c>
      <c r="R20" s="181">
        <f t="shared" si="11"/>
        <v>6937.5</v>
      </c>
      <c r="S20" s="182">
        <f t="shared" si="12"/>
        <v>7400</v>
      </c>
      <c r="T20" s="181">
        <f t="shared" si="13"/>
        <v>7862.5</v>
      </c>
      <c r="U20" s="181">
        <f t="shared" si="14"/>
        <v>8325</v>
      </c>
      <c r="V20" s="181">
        <f t="shared" si="15"/>
        <v>8787.5</v>
      </c>
      <c r="W20" s="182">
        <f t="shared" si="16"/>
        <v>9250</v>
      </c>
      <c r="X20" s="181">
        <f t="shared" si="17"/>
        <v>9712.5</v>
      </c>
      <c r="Y20" s="181">
        <f t="shared" si="18"/>
        <v>10175</v>
      </c>
      <c r="Z20" s="181">
        <f t="shared" si="19"/>
        <v>10637.5</v>
      </c>
      <c r="AA20" s="183">
        <f t="shared" si="20"/>
        <v>11100</v>
      </c>
      <c r="AB20" s="20"/>
      <c r="AC20" s="20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ht="21.75" customHeight="1">
      <c r="A21" s="81"/>
      <c r="B21" s="23"/>
      <c r="C21" s="74" t="s">
        <v>8</v>
      </c>
      <c r="D21" s="174">
        <f>G21*D15</f>
        <v>1228.5</v>
      </c>
      <c r="E21" s="174">
        <f>G21*E15</f>
        <v>1774.5</v>
      </c>
      <c r="F21" s="174">
        <f>G21*F15</f>
        <v>2320.5</v>
      </c>
      <c r="G21" s="175">
        <f>N7+Y10</f>
        <v>2730</v>
      </c>
      <c r="H21" s="174">
        <f t="shared" si="1"/>
        <v>3412.5</v>
      </c>
      <c r="I21" s="174">
        <f t="shared" si="2"/>
        <v>4095</v>
      </c>
      <c r="J21" s="174">
        <f t="shared" si="3"/>
        <v>4777.5</v>
      </c>
      <c r="K21" s="175">
        <f t="shared" si="4"/>
        <v>5460</v>
      </c>
      <c r="L21" s="174">
        <f t="shared" si="5"/>
        <v>6142.5</v>
      </c>
      <c r="M21" s="174">
        <f t="shared" si="6"/>
        <v>6825</v>
      </c>
      <c r="N21" s="174">
        <f t="shared" si="7"/>
        <v>7507.5</v>
      </c>
      <c r="O21" s="175">
        <f t="shared" si="8"/>
        <v>8190</v>
      </c>
      <c r="P21" s="174">
        <f t="shared" si="9"/>
        <v>8872.5</v>
      </c>
      <c r="Q21" s="174">
        <f t="shared" si="10"/>
        <v>9555</v>
      </c>
      <c r="R21" s="174">
        <f t="shared" si="11"/>
        <v>10237.5</v>
      </c>
      <c r="S21" s="175">
        <f t="shared" si="12"/>
        <v>10920</v>
      </c>
      <c r="T21" s="174">
        <f t="shared" si="13"/>
        <v>11602.5</v>
      </c>
      <c r="U21" s="174">
        <f t="shared" si="14"/>
        <v>12285</v>
      </c>
      <c r="V21" s="174">
        <f t="shared" si="15"/>
        <v>12967.5</v>
      </c>
      <c r="W21" s="175">
        <f t="shared" si="16"/>
        <v>13650</v>
      </c>
      <c r="X21" s="174">
        <f t="shared" si="17"/>
        <v>14332.5</v>
      </c>
      <c r="Y21" s="174">
        <f t="shared" si="18"/>
        <v>15015</v>
      </c>
      <c r="Z21" s="174">
        <f t="shared" si="19"/>
        <v>15697.5</v>
      </c>
      <c r="AA21" s="176">
        <f t="shared" si="20"/>
        <v>16380</v>
      </c>
      <c r="AB21" s="20"/>
      <c r="AC21" s="20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ht="21.75" customHeight="1">
      <c r="A22" s="81"/>
      <c r="B22" s="23"/>
      <c r="C22" s="82" t="s">
        <v>46</v>
      </c>
      <c r="D22" s="178">
        <f>G22*D15</f>
        <v>963</v>
      </c>
      <c r="E22" s="178">
        <f>G22*E15</f>
        <v>1391</v>
      </c>
      <c r="F22" s="178">
        <f>G22*F15</f>
        <v>1819</v>
      </c>
      <c r="G22" s="179">
        <f>N7+Y11</f>
        <v>2140</v>
      </c>
      <c r="H22" s="178">
        <f t="shared" si="1"/>
        <v>2675</v>
      </c>
      <c r="I22" s="178">
        <f t="shared" si="2"/>
        <v>3210</v>
      </c>
      <c r="J22" s="178">
        <f t="shared" si="3"/>
        <v>3745</v>
      </c>
      <c r="K22" s="179">
        <f t="shared" si="4"/>
        <v>4280</v>
      </c>
      <c r="L22" s="178">
        <f t="shared" si="5"/>
        <v>4815</v>
      </c>
      <c r="M22" s="178">
        <f t="shared" si="6"/>
        <v>5350</v>
      </c>
      <c r="N22" s="178">
        <f t="shared" si="7"/>
        <v>5885</v>
      </c>
      <c r="O22" s="179">
        <f t="shared" si="8"/>
        <v>6420</v>
      </c>
      <c r="P22" s="178">
        <f t="shared" si="9"/>
        <v>6955</v>
      </c>
      <c r="Q22" s="178">
        <f t="shared" si="10"/>
        <v>7490</v>
      </c>
      <c r="R22" s="178">
        <f t="shared" si="11"/>
        <v>8025</v>
      </c>
      <c r="S22" s="179">
        <f t="shared" si="12"/>
        <v>8560</v>
      </c>
      <c r="T22" s="178">
        <f t="shared" si="13"/>
        <v>9095</v>
      </c>
      <c r="U22" s="178">
        <f t="shared" si="14"/>
        <v>9630</v>
      </c>
      <c r="V22" s="178">
        <f t="shared" si="15"/>
        <v>10165</v>
      </c>
      <c r="W22" s="179">
        <f t="shared" si="16"/>
        <v>10700</v>
      </c>
      <c r="X22" s="178">
        <f t="shared" si="17"/>
        <v>11235</v>
      </c>
      <c r="Y22" s="178">
        <f t="shared" si="18"/>
        <v>11770</v>
      </c>
      <c r="Z22" s="178">
        <f t="shared" si="19"/>
        <v>12305</v>
      </c>
      <c r="AA22" s="178">
        <f t="shared" si="20"/>
        <v>12840</v>
      </c>
      <c r="AB22" s="20"/>
      <c r="AC22" s="20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ht="21.75" customHeight="1">
      <c r="A23" s="81"/>
      <c r="B23" s="50"/>
      <c r="C23" s="184" t="s">
        <v>11</v>
      </c>
      <c r="D23" s="181">
        <f>G23*D15</f>
        <v>868.5</v>
      </c>
      <c r="E23" s="181">
        <f>G23*E15</f>
        <v>1254.5</v>
      </c>
      <c r="F23" s="181">
        <f>G23*F15</f>
        <v>1640.5</v>
      </c>
      <c r="G23" s="182">
        <f>N7+Y12</f>
        <v>1930</v>
      </c>
      <c r="H23" s="181">
        <f t="shared" si="1"/>
        <v>2412.5</v>
      </c>
      <c r="I23" s="181">
        <f t="shared" si="2"/>
        <v>2895</v>
      </c>
      <c r="J23" s="181">
        <f t="shared" si="3"/>
        <v>3377.5</v>
      </c>
      <c r="K23" s="182">
        <f t="shared" si="4"/>
        <v>3860</v>
      </c>
      <c r="L23" s="181">
        <f t="shared" si="5"/>
        <v>4342.5</v>
      </c>
      <c r="M23" s="181">
        <f t="shared" si="6"/>
        <v>4825</v>
      </c>
      <c r="N23" s="181">
        <f t="shared" si="7"/>
        <v>5307.5</v>
      </c>
      <c r="O23" s="182">
        <f t="shared" si="8"/>
        <v>5790</v>
      </c>
      <c r="P23" s="181">
        <f t="shared" si="9"/>
        <v>6272.5</v>
      </c>
      <c r="Q23" s="181">
        <f t="shared" si="10"/>
        <v>6755</v>
      </c>
      <c r="R23" s="181">
        <f t="shared" si="11"/>
        <v>7237.5</v>
      </c>
      <c r="S23" s="182">
        <f t="shared" si="12"/>
        <v>7720</v>
      </c>
      <c r="T23" s="181">
        <f t="shared" si="13"/>
        <v>8202.5</v>
      </c>
      <c r="U23" s="181">
        <f t="shared" si="14"/>
        <v>8685</v>
      </c>
      <c r="V23" s="181">
        <f t="shared" si="15"/>
        <v>9167.5</v>
      </c>
      <c r="W23" s="182">
        <f t="shared" si="16"/>
        <v>9650</v>
      </c>
      <c r="X23" s="181">
        <f t="shared" si="17"/>
        <v>10132.5</v>
      </c>
      <c r="Y23" s="181">
        <f t="shared" si="18"/>
        <v>10615</v>
      </c>
      <c r="Z23" s="181">
        <f t="shared" si="19"/>
        <v>11097.5</v>
      </c>
      <c r="AA23" s="181">
        <f t="shared" si="20"/>
        <v>11580</v>
      </c>
      <c r="AB23" s="20"/>
      <c r="AC23" s="20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ht="21.75" customHeight="1">
      <c r="A24" s="81"/>
      <c r="B24" s="185" t="s">
        <v>69</v>
      </c>
      <c r="C24" s="172" t="s">
        <v>4</v>
      </c>
      <c r="D24" s="173"/>
      <c r="E24" s="174"/>
      <c r="F24" s="174"/>
      <c r="G24" s="175"/>
      <c r="H24" s="174"/>
      <c r="I24" s="174"/>
      <c r="J24" s="174"/>
      <c r="K24" s="175"/>
      <c r="L24" s="174"/>
      <c r="M24" s="174"/>
      <c r="N24" s="174"/>
      <c r="O24" s="175">
        <v>7800.0</v>
      </c>
      <c r="P24" s="174"/>
      <c r="Q24" s="174"/>
      <c r="R24" s="174"/>
      <c r="S24" s="175"/>
      <c r="T24" s="174"/>
      <c r="U24" s="174"/>
      <c r="V24" s="174"/>
      <c r="W24" s="175"/>
      <c r="X24" s="174"/>
      <c r="Y24" s="174"/>
      <c r="Z24" s="174"/>
      <c r="AA24" s="176"/>
      <c r="AB24" s="20"/>
      <c r="AC24" s="20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ht="21.75" customHeight="1">
      <c r="A25" s="81"/>
      <c r="B25" s="23"/>
      <c r="C25" s="177" t="s">
        <v>45</v>
      </c>
      <c r="D25" s="178"/>
      <c r="E25" s="178"/>
      <c r="F25" s="178"/>
      <c r="G25" s="179"/>
      <c r="H25" s="178"/>
      <c r="I25" s="178"/>
      <c r="J25" s="178"/>
      <c r="K25" s="179"/>
      <c r="L25" s="178"/>
      <c r="M25" s="178"/>
      <c r="N25" s="178"/>
      <c r="O25" s="179">
        <v>6510.0</v>
      </c>
      <c r="P25" s="178"/>
      <c r="Q25" s="178"/>
      <c r="R25" s="178"/>
      <c r="S25" s="179"/>
      <c r="T25" s="178"/>
      <c r="U25" s="178"/>
      <c r="V25" s="178"/>
      <c r="W25" s="179"/>
      <c r="X25" s="178"/>
      <c r="Y25" s="178"/>
      <c r="Z25" s="178"/>
      <c r="AA25" s="178"/>
      <c r="AB25" s="20"/>
      <c r="AC25" s="20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ht="21.75" customHeight="1">
      <c r="A26" s="81"/>
      <c r="B26" s="23"/>
      <c r="C26" s="180" t="s">
        <v>6</v>
      </c>
      <c r="D26" s="181"/>
      <c r="E26" s="181"/>
      <c r="F26" s="181"/>
      <c r="G26" s="182"/>
      <c r="H26" s="181"/>
      <c r="I26" s="181"/>
      <c r="J26" s="181"/>
      <c r="K26" s="182"/>
      <c r="L26" s="181"/>
      <c r="M26" s="181"/>
      <c r="N26" s="181"/>
      <c r="O26" s="182">
        <v>6030.0</v>
      </c>
      <c r="P26" s="181"/>
      <c r="Q26" s="181"/>
      <c r="R26" s="181"/>
      <c r="S26" s="182"/>
      <c r="T26" s="181"/>
      <c r="U26" s="181"/>
      <c r="V26" s="181"/>
      <c r="W26" s="182"/>
      <c r="X26" s="181"/>
      <c r="Y26" s="181"/>
      <c r="Z26" s="181"/>
      <c r="AA26" s="183"/>
      <c r="AB26" s="20"/>
      <c r="AC26" s="20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ht="21.75" customHeight="1">
      <c r="A27" s="81"/>
      <c r="B27" s="23"/>
      <c r="C27" s="74" t="s">
        <v>8</v>
      </c>
      <c r="D27" s="178"/>
      <c r="E27" s="178"/>
      <c r="F27" s="178"/>
      <c r="G27" s="179"/>
      <c r="H27" s="178"/>
      <c r="I27" s="178"/>
      <c r="J27" s="178"/>
      <c r="K27" s="179"/>
      <c r="L27" s="178"/>
      <c r="M27" s="178"/>
      <c r="N27" s="178"/>
      <c r="O27" s="179">
        <v>8670.0</v>
      </c>
      <c r="P27" s="178"/>
      <c r="Q27" s="178"/>
      <c r="R27" s="178"/>
      <c r="S27" s="179"/>
      <c r="T27" s="178"/>
      <c r="U27" s="178"/>
      <c r="V27" s="178"/>
      <c r="W27" s="179"/>
      <c r="X27" s="178"/>
      <c r="Y27" s="178"/>
      <c r="Z27" s="178"/>
      <c r="AA27" s="186"/>
      <c r="AB27" s="20"/>
      <c r="AC27" s="20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ht="21.75" customHeight="1">
      <c r="A28" s="81"/>
      <c r="B28" s="23"/>
      <c r="C28" s="82" t="s">
        <v>46</v>
      </c>
      <c r="D28" s="178"/>
      <c r="E28" s="178"/>
      <c r="F28" s="178"/>
      <c r="G28" s="179"/>
      <c r="H28" s="178"/>
      <c r="I28" s="178"/>
      <c r="J28" s="178"/>
      <c r="K28" s="179"/>
      <c r="L28" s="178"/>
      <c r="M28" s="178"/>
      <c r="N28" s="178"/>
      <c r="O28" s="179">
        <v>6900.0</v>
      </c>
      <c r="P28" s="178"/>
      <c r="Q28" s="178"/>
      <c r="R28" s="178"/>
      <c r="S28" s="179"/>
      <c r="T28" s="178"/>
      <c r="U28" s="178"/>
      <c r="V28" s="178"/>
      <c r="W28" s="179"/>
      <c r="X28" s="178"/>
      <c r="Y28" s="178"/>
      <c r="Z28" s="178"/>
      <c r="AA28" s="186"/>
      <c r="AB28" s="20"/>
      <c r="AC28" s="20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ht="21.75" customHeight="1">
      <c r="A29" s="92"/>
      <c r="B29" s="161"/>
      <c r="C29" s="184" t="s">
        <v>11</v>
      </c>
      <c r="D29" s="181">
        <v>0.0</v>
      </c>
      <c r="E29" s="181">
        <v>0.0</v>
      </c>
      <c r="F29" s="181">
        <v>0.0</v>
      </c>
      <c r="G29" s="182">
        <v>0.0</v>
      </c>
      <c r="H29" s="181">
        <v>0.0</v>
      </c>
      <c r="I29" s="181">
        <v>0.0</v>
      </c>
      <c r="J29" s="181">
        <f t="shared" ref="J29:J47" si="21">G29+(G29*0.75)</f>
        <v>0</v>
      </c>
      <c r="K29" s="182">
        <f t="shared" ref="K29:K47" si="22">G29*2</f>
        <v>0</v>
      </c>
      <c r="L29" s="181">
        <f t="shared" ref="L29:L47" si="23">K29+(G29*0.25)</f>
        <v>0</v>
      </c>
      <c r="M29" s="181">
        <f t="shared" ref="M29:M47" si="24">K29+(G29*0.5)</f>
        <v>0</v>
      </c>
      <c r="N29" s="181">
        <f t="shared" ref="N29:N47" si="25">K29+(G29*0.75)</f>
        <v>0</v>
      </c>
      <c r="O29" s="182">
        <v>6270.0</v>
      </c>
      <c r="P29" s="181">
        <v>0.0</v>
      </c>
      <c r="Q29" s="181">
        <v>0.0</v>
      </c>
      <c r="R29" s="181">
        <v>0.0</v>
      </c>
      <c r="S29" s="182">
        <f t="shared" ref="S29:S47" si="26">G29*4</f>
        <v>0</v>
      </c>
      <c r="T29" s="181">
        <f t="shared" ref="T29:T47" si="27">S29+(G29*0.25)</f>
        <v>0</v>
      </c>
      <c r="U29" s="181">
        <f t="shared" ref="U29:U47" si="28">S29+(G29*0.5)</f>
        <v>0</v>
      </c>
      <c r="V29" s="181">
        <f t="shared" ref="V29:V47" si="29">S29+(G29*0.75)</f>
        <v>0</v>
      </c>
      <c r="W29" s="182">
        <f t="shared" ref="W29:W47" si="30">G29*5</f>
        <v>0</v>
      </c>
      <c r="X29" s="181">
        <f t="shared" ref="X29:X47" si="31">W29+(G29*0.25)</f>
        <v>0</v>
      </c>
      <c r="Y29" s="181">
        <f t="shared" ref="Y29:Y47" si="32">W29+(G29*0.5)</f>
        <v>0</v>
      </c>
      <c r="Z29" s="181">
        <f t="shared" ref="Z29:Z47" si="33">W29+(G29*0.75)</f>
        <v>0</v>
      </c>
      <c r="AA29" s="183">
        <f t="shared" ref="AA29:AA47" si="34">G29*6</f>
        <v>0</v>
      </c>
      <c r="AB29" s="20"/>
      <c r="AC29" s="20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ht="21.75" customHeight="1">
      <c r="A30" s="187" t="s">
        <v>63</v>
      </c>
      <c r="B30" s="188" t="s">
        <v>70</v>
      </c>
      <c r="C30" s="189" t="s">
        <v>4</v>
      </c>
      <c r="D30" s="190">
        <f>G30*D15</f>
        <v>1165.5</v>
      </c>
      <c r="E30" s="191">
        <f>G30*E15</f>
        <v>1683.5</v>
      </c>
      <c r="F30" s="191">
        <f>G30*F15</f>
        <v>2201.5</v>
      </c>
      <c r="G30" s="192">
        <f>N10+Y7</f>
        <v>2590</v>
      </c>
      <c r="H30" s="191">
        <f t="shared" ref="H30:H47" si="35">G30+(G30*0.25)</f>
        <v>3237.5</v>
      </c>
      <c r="I30" s="191">
        <f t="shared" ref="I30:I47" si="36">G30+(G30*0.5)</f>
        <v>3885</v>
      </c>
      <c r="J30" s="191">
        <f t="shared" si="21"/>
        <v>4532.5</v>
      </c>
      <c r="K30" s="192">
        <f t="shared" si="22"/>
        <v>5180</v>
      </c>
      <c r="L30" s="191">
        <f t="shared" si="23"/>
        <v>5827.5</v>
      </c>
      <c r="M30" s="191">
        <f t="shared" si="24"/>
        <v>6475</v>
      </c>
      <c r="N30" s="191">
        <f t="shared" si="25"/>
        <v>7122.5</v>
      </c>
      <c r="O30" s="192">
        <f t="shared" ref="O30:O47" si="37">G30*3</f>
        <v>7770</v>
      </c>
      <c r="P30" s="191">
        <f t="shared" ref="P30:P47" si="38">O30+(G30*0.25)</f>
        <v>8417.5</v>
      </c>
      <c r="Q30" s="191">
        <f t="shared" ref="Q30:Q47" si="39">O30+(G30*0.5)</f>
        <v>9065</v>
      </c>
      <c r="R30" s="191">
        <f t="shared" ref="R30:R47" si="40">O30+(G30*0.75)</f>
        <v>9712.5</v>
      </c>
      <c r="S30" s="192">
        <f t="shared" si="26"/>
        <v>10360</v>
      </c>
      <c r="T30" s="191">
        <f t="shared" si="27"/>
        <v>11007.5</v>
      </c>
      <c r="U30" s="191">
        <f t="shared" si="28"/>
        <v>11655</v>
      </c>
      <c r="V30" s="191">
        <f t="shared" si="29"/>
        <v>12302.5</v>
      </c>
      <c r="W30" s="192">
        <f t="shared" si="30"/>
        <v>12950</v>
      </c>
      <c r="X30" s="191">
        <f t="shared" si="31"/>
        <v>13597.5</v>
      </c>
      <c r="Y30" s="191">
        <f t="shared" si="32"/>
        <v>14245</v>
      </c>
      <c r="Z30" s="191">
        <f t="shared" si="33"/>
        <v>14892.5</v>
      </c>
      <c r="AA30" s="193">
        <f t="shared" si="34"/>
        <v>15540</v>
      </c>
      <c r="AB30" s="20"/>
      <c r="AC30" s="20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ht="21.75" customHeight="1">
      <c r="A31" s="81"/>
      <c r="B31" s="23"/>
      <c r="C31" s="194" t="s">
        <v>45</v>
      </c>
      <c r="D31" s="195">
        <f>G31*D15</f>
        <v>972</v>
      </c>
      <c r="E31" s="195">
        <f>G31*E15</f>
        <v>1404</v>
      </c>
      <c r="F31" s="195">
        <f>G31*F15</f>
        <v>1836</v>
      </c>
      <c r="G31" s="196">
        <f>Y8+N10</f>
        <v>2160</v>
      </c>
      <c r="H31" s="195">
        <f t="shared" si="35"/>
        <v>2700</v>
      </c>
      <c r="I31" s="195">
        <f t="shared" si="36"/>
        <v>3240</v>
      </c>
      <c r="J31" s="195">
        <f t="shared" si="21"/>
        <v>3780</v>
      </c>
      <c r="K31" s="196">
        <f t="shared" si="22"/>
        <v>4320</v>
      </c>
      <c r="L31" s="195">
        <f t="shared" si="23"/>
        <v>4860</v>
      </c>
      <c r="M31" s="195">
        <f t="shared" si="24"/>
        <v>5400</v>
      </c>
      <c r="N31" s="195">
        <f t="shared" si="25"/>
        <v>5940</v>
      </c>
      <c r="O31" s="196">
        <f t="shared" si="37"/>
        <v>6480</v>
      </c>
      <c r="P31" s="195">
        <f t="shared" si="38"/>
        <v>7020</v>
      </c>
      <c r="Q31" s="195">
        <f t="shared" si="39"/>
        <v>7560</v>
      </c>
      <c r="R31" s="195">
        <f t="shared" si="40"/>
        <v>8100</v>
      </c>
      <c r="S31" s="196">
        <f t="shared" si="26"/>
        <v>8640</v>
      </c>
      <c r="T31" s="195">
        <f t="shared" si="27"/>
        <v>9180</v>
      </c>
      <c r="U31" s="195">
        <f t="shared" si="28"/>
        <v>9720</v>
      </c>
      <c r="V31" s="195">
        <f t="shared" si="29"/>
        <v>10260</v>
      </c>
      <c r="W31" s="196">
        <f t="shared" si="30"/>
        <v>10800</v>
      </c>
      <c r="X31" s="195">
        <f t="shared" si="31"/>
        <v>11340</v>
      </c>
      <c r="Y31" s="195">
        <f t="shared" si="32"/>
        <v>11880</v>
      </c>
      <c r="Z31" s="195">
        <f t="shared" si="33"/>
        <v>12420</v>
      </c>
      <c r="AA31" s="196">
        <f t="shared" si="34"/>
        <v>12960</v>
      </c>
      <c r="AB31" s="20"/>
      <c r="AC31" s="20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ht="21.75" customHeight="1">
      <c r="A32" s="81"/>
      <c r="B32" s="23"/>
      <c r="C32" s="197" t="s">
        <v>6</v>
      </c>
      <c r="D32" s="198">
        <f>G32*D15</f>
        <v>900</v>
      </c>
      <c r="E32" s="198">
        <f>G32*E15</f>
        <v>1300</v>
      </c>
      <c r="F32" s="198">
        <f>G32*F15</f>
        <v>1700</v>
      </c>
      <c r="G32" s="199">
        <f>Y9+N10</f>
        <v>2000</v>
      </c>
      <c r="H32" s="198">
        <f t="shared" si="35"/>
        <v>2500</v>
      </c>
      <c r="I32" s="198">
        <f t="shared" si="36"/>
        <v>3000</v>
      </c>
      <c r="J32" s="198">
        <f t="shared" si="21"/>
        <v>3500</v>
      </c>
      <c r="K32" s="199">
        <f t="shared" si="22"/>
        <v>4000</v>
      </c>
      <c r="L32" s="198">
        <f t="shared" si="23"/>
        <v>4500</v>
      </c>
      <c r="M32" s="198">
        <f t="shared" si="24"/>
        <v>5000</v>
      </c>
      <c r="N32" s="198">
        <f t="shared" si="25"/>
        <v>5500</v>
      </c>
      <c r="O32" s="199">
        <f t="shared" si="37"/>
        <v>6000</v>
      </c>
      <c r="P32" s="198">
        <f t="shared" si="38"/>
        <v>6500</v>
      </c>
      <c r="Q32" s="198">
        <f t="shared" si="39"/>
        <v>7000</v>
      </c>
      <c r="R32" s="198">
        <f t="shared" si="40"/>
        <v>7500</v>
      </c>
      <c r="S32" s="199">
        <f t="shared" si="26"/>
        <v>8000</v>
      </c>
      <c r="T32" s="198">
        <f t="shared" si="27"/>
        <v>8500</v>
      </c>
      <c r="U32" s="198">
        <f t="shared" si="28"/>
        <v>9000</v>
      </c>
      <c r="V32" s="198">
        <f t="shared" si="29"/>
        <v>9500</v>
      </c>
      <c r="W32" s="199">
        <f t="shared" si="30"/>
        <v>10000</v>
      </c>
      <c r="X32" s="198">
        <f t="shared" si="31"/>
        <v>10500</v>
      </c>
      <c r="Y32" s="198">
        <f t="shared" si="32"/>
        <v>11000</v>
      </c>
      <c r="Z32" s="198">
        <f t="shared" si="33"/>
        <v>11500</v>
      </c>
      <c r="AA32" s="200">
        <f t="shared" si="34"/>
        <v>12000</v>
      </c>
      <c r="AB32" s="20"/>
      <c r="AC32" s="20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ht="21.75" customHeight="1">
      <c r="A33" s="81"/>
      <c r="B33" s="23"/>
      <c r="C33" s="201" t="s">
        <v>8</v>
      </c>
      <c r="D33" s="191">
        <f>G33*D15</f>
        <v>1296</v>
      </c>
      <c r="E33" s="191">
        <f>G33*E15</f>
        <v>1872</v>
      </c>
      <c r="F33" s="191">
        <f>G33*F15</f>
        <v>2448</v>
      </c>
      <c r="G33" s="192">
        <f>Y10+N10</f>
        <v>2880</v>
      </c>
      <c r="H33" s="191">
        <f t="shared" si="35"/>
        <v>3600</v>
      </c>
      <c r="I33" s="191">
        <f t="shared" si="36"/>
        <v>4320</v>
      </c>
      <c r="J33" s="191">
        <f t="shared" si="21"/>
        <v>5040</v>
      </c>
      <c r="K33" s="192">
        <f t="shared" si="22"/>
        <v>5760</v>
      </c>
      <c r="L33" s="191">
        <f t="shared" si="23"/>
        <v>6480</v>
      </c>
      <c r="M33" s="191">
        <f t="shared" si="24"/>
        <v>7200</v>
      </c>
      <c r="N33" s="191">
        <f t="shared" si="25"/>
        <v>7920</v>
      </c>
      <c r="O33" s="192">
        <f t="shared" si="37"/>
        <v>8640</v>
      </c>
      <c r="P33" s="191">
        <f t="shared" si="38"/>
        <v>9360</v>
      </c>
      <c r="Q33" s="191">
        <f t="shared" si="39"/>
        <v>10080</v>
      </c>
      <c r="R33" s="191">
        <f t="shared" si="40"/>
        <v>10800</v>
      </c>
      <c r="S33" s="192">
        <f t="shared" si="26"/>
        <v>11520</v>
      </c>
      <c r="T33" s="191">
        <f t="shared" si="27"/>
        <v>12240</v>
      </c>
      <c r="U33" s="191">
        <f t="shared" si="28"/>
        <v>12960</v>
      </c>
      <c r="V33" s="191">
        <f t="shared" si="29"/>
        <v>13680</v>
      </c>
      <c r="W33" s="192">
        <f t="shared" si="30"/>
        <v>14400</v>
      </c>
      <c r="X33" s="191">
        <f t="shared" si="31"/>
        <v>15120</v>
      </c>
      <c r="Y33" s="191">
        <f t="shared" si="32"/>
        <v>15840</v>
      </c>
      <c r="Z33" s="191">
        <f t="shared" si="33"/>
        <v>16560</v>
      </c>
      <c r="AA33" s="193">
        <f t="shared" si="34"/>
        <v>17280</v>
      </c>
      <c r="AB33" s="20"/>
      <c r="AC33" s="20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ht="21.75" customHeight="1">
      <c r="A34" s="81"/>
      <c r="B34" s="23"/>
      <c r="C34" s="202" t="s">
        <v>46</v>
      </c>
      <c r="D34" s="195">
        <f>G34*D15</f>
        <v>1030.5</v>
      </c>
      <c r="E34" s="195">
        <f>G34*E15</f>
        <v>1488.5</v>
      </c>
      <c r="F34" s="195">
        <f>G34*F15</f>
        <v>1946.5</v>
      </c>
      <c r="G34" s="196">
        <f>Y11+N10</f>
        <v>2290</v>
      </c>
      <c r="H34" s="195">
        <f t="shared" si="35"/>
        <v>2862.5</v>
      </c>
      <c r="I34" s="195">
        <f t="shared" si="36"/>
        <v>3435</v>
      </c>
      <c r="J34" s="195">
        <f t="shared" si="21"/>
        <v>4007.5</v>
      </c>
      <c r="K34" s="196">
        <f t="shared" si="22"/>
        <v>4580</v>
      </c>
      <c r="L34" s="195">
        <f t="shared" si="23"/>
        <v>5152.5</v>
      </c>
      <c r="M34" s="195">
        <f t="shared" si="24"/>
        <v>5725</v>
      </c>
      <c r="N34" s="195">
        <f t="shared" si="25"/>
        <v>6297.5</v>
      </c>
      <c r="O34" s="196">
        <f t="shared" si="37"/>
        <v>6870</v>
      </c>
      <c r="P34" s="195">
        <f t="shared" si="38"/>
        <v>7442.5</v>
      </c>
      <c r="Q34" s="195">
        <f t="shared" si="39"/>
        <v>8015</v>
      </c>
      <c r="R34" s="195">
        <f t="shared" si="40"/>
        <v>8587.5</v>
      </c>
      <c r="S34" s="196">
        <f t="shared" si="26"/>
        <v>9160</v>
      </c>
      <c r="T34" s="195">
        <f t="shared" si="27"/>
        <v>9732.5</v>
      </c>
      <c r="U34" s="195">
        <f t="shared" si="28"/>
        <v>10305</v>
      </c>
      <c r="V34" s="195">
        <f t="shared" si="29"/>
        <v>10877.5</v>
      </c>
      <c r="W34" s="196">
        <f t="shared" si="30"/>
        <v>11450</v>
      </c>
      <c r="X34" s="195">
        <f t="shared" si="31"/>
        <v>12022.5</v>
      </c>
      <c r="Y34" s="195">
        <f t="shared" si="32"/>
        <v>12595</v>
      </c>
      <c r="Z34" s="195">
        <f t="shared" si="33"/>
        <v>13167.5</v>
      </c>
      <c r="AA34" s="196">
        <f t="shared" si="34"/>
        <v>13740</v>
      </c>
      <c r="AB34" s="20"/>
      <c r="AC34" s="20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ht="21.75" customHeight="1">
      <c r="A35" s="81"/>
      <c r="B35" s="50"/>
      <c r="C35" s="203" t="s">
        <v>11</v>
      </c>
      <c r="D35" s="198">
        <f>G35*D15</f>
        <v>936</v>
      </c>
      <c r="E35" s="198">
        <f>G35*E15</f>
        <v>1352</v>
      </c>
      <c r="F35" s="198">
        <f>G35*F15</f>
        <v>1768</v>
      </c>
      <c r="G35" s="199">
        <f>Y12+N10</f>
        <v>2080</v>
      </c>
      <c r="H35" s="198">
        <f t="shared" si="35"/>
        <v>2600</v>
      </c>
      <c r="I35" s="198">
        <f t="shared" si="36"/>
        <v>3120</v>
      </c>
      <c r="J35" s="198">
        <f t="shared" si="21"/>
        <v>3640</v>
      </c>
      <c r="K35" s="199">
        <f t="shared" si="22"/>
        <v>4160</v>
      </c>
      <c r="L35" s="198">
        <f t="shared" si="23"/>
        <v>4680</v>
      </c>
      <c r="M35" s="198">
        <f t="shared" si="24"/>
        <v>5200</v>
      </c>
      <c r="N35" s="198">
        <f t="shared" si="25"/>
        <v>5720</v>
      </c>
      <c r="O35" s="199">
        <f t="shared" si="37"/>
        <v>6240</v>
      </c>
      <c r="P35" s="198">
        <f t="shared" si="38"/>
        <v>6760</v>
      </c>
      <c r="Q35" s="198">
        <f t="shared" si="39"/>
        <v>7280</v>
      </c>
      <c r="R35" s="198">
        <f t="shared" si="40"/>
        <v>7800</v>
      </c>
      <c r="S35" s="199">
        <f t="shared" si="26"/>
        <v>8320</v>
      </c>
      <c r="T35" s="198">
        <f t="shared" si="27"/>
        <v>8840</v>
      </c>
      <c r="U35" s="198">
        <f t="shared" si="28"/>
        <v>9360</v>
      </c>
      <c r="V35" s="198">
        <f t="shared" si="29"/>
        <v>9880</v>
      </c>
      <c r="W35" s="199">
        <f t="shared" si="30"/>
        <v>10400</v>
      </c>
      <c r="X35" s="198">
        <f t="shared" si="31"/>
        <v>10920</v>
      </c>
      <c r="Y35" s="198">
        <f t="shared" si="32"/>
        <v>11440</v>
      </c>
      <c r="Z35" s="198">
        <f t="shared" si="33"/>
        <v>11960</v>
      </c>
      <c r="AA35" s="199">
        <f t="shared" si="34"/>
        <v>12480</v>
      </c>
      <c r="AB35" s="20"/>
      <c r="AC35" s="20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ht="21.75" customHeight="1">
      <c r="A36" s="81"/>
      <c r="B36" s="188" t="s">
        <v>65</v>
      </c>
      <c r="C36" s="189" t="s">
        <v>4</v>
      </c>
      <c r="D36" s="191">
        <f>G36*D15</f>
        <v>1107</v>
      </c>
      <c r="E36" s="191">
        <f>G36*E15</f>
        <v>1599</v>
      </c>
      <c r="F36" s="191">
        <f>G36*F15</f>
        <v>2091</v>
      </c>
      <c r="G36" s="192">
        <f>N11+Y7</f>
        <v>2460</v>
      </c>
      <c r="H36" s="191">
        <f t="shared" si="35"/>
        <v>3075</v>
      </c>
      <c r="I36" s="191">
        <f t="shared" si="36"/>
        <v>3690</v>
      </c>
      <c r="J36" s="191">
        <f t="shared" si="21"/>
        <v>4305</v>
      </c>
      <c r="K36" s="192">
        <f t="shared" si="22"/>
        <v>4920</v>
      </c>
      <c r="L36" s="191">
        <f t="shared" si="23"/>
        <v>5535</v>
      </c>
      <c r="M36" s="191">
        <f t="shared" si="24"/>
        <v>6150</v>
      </c>
      <c r="N36" s="191">
        <f t="shared" si="25"/>
        <v>6765</v>
      </c>
      <c r="O36" s="192">
        <f t="shared" si="37"/>
        <v>7380</v>
      </c>
      <c r="P36" s="191">
        <f t="shared" si="38"/>
        <v>7995</v>
      </c>
      <c r="Q36" s="191">
        <f t="shared" si="39"/>
        <v>8610</v>
      </c>
      <c r="R36" s="191">
        <f t="shared" si="40"/>
        <v>9225</v>
      </c>
      <c r="S36" s="192">
        <f t="shared" si="26"/>
        <v>9840</v>
      </c>
      <c r="T36" s="191">
        <f t="shared" si="27"/>
        <v>10455</v>
      </c>
      <c r="U36" s="191">
        <f t="shared" si="28"/>
        <v>11070</v>
      </c>
      <c r="V36" s="191">
        <f t="shared" si="29"/>
        <v>11685</v>
      </c>
      <c r="W36" s="192">
        <f t="shared" si="30"/>
        <v>12300</v>
      </c>
      <c r="X36" s="191">
        <f t="shared" si="31"/>
        <v>12915</v>
      </c>
      <c r="Y36" s="191">
        <f t="shared" si="32"/>
        <v>13530</v>
      </c>
      <c r="Z36" s="191">
        <f t="shared" si="33"/>
        <v>14145</v>
      </c>
      <c r="AA36" s="193">
        <f t="shared" si="34"/>
        <v>14760</v>
      </c>
      <c r="AB36" s="20"/>
      <c r="AC36" s="2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ht="21.75" customHeight="1">
      <c r="A37" s="81"/>
      <c r="B37" s="23"/>
      <c r="C37" s="194" t="s">
        <v>45</v>
      </c>
      <c r="D37" s="195">
        <f>G37*D15</f>
        <v>913.5</v>
      </c>
      <c r="E37" s="195">
        <f>G37*E15</f>
        <v>1319.5</v>
      </c>
      <c r="F37" s="195">
        <f>G37*F15</f>
        <v>1725.5</v>
      </c>
      <c r="G37" s="196">
        <f>N11+Y8</f>
        <v>2030</v>
      </c>
      <c r="H37" s="195">
        <f t="shared" si="35"/>
        <v>2537.5</v>
      </c>
      <c r="I37" s="195">
        <f t="shared" si="36"/>
        <v>3045</v>
      </c>
      <c r="J37" s="195">
        <f t="shared" si="21"/>
        <v>3552.5</v>
      </c>
      <c r="K37" s="196">
        <f t="shared" si="22"/>
        <v>4060</v>
      </c>
      <c r="L37" s="195">
        <f t="shared" si="23"/>
        <v>4567.5</v>
      </c>
      <c r="M37" s="195">
        <f t="shared" si="24"/>
        <v>5075</v>
      </c>
      <c r="N37" s="195">
        <f t="shared" si="25"/>
        <v>5582.5</v>
      </c>
      <c r="O37" s="196">
        <f t="shared" si="37"/>
        <v>6090</v>
      </c>
      <c r="P37" s="195">
        <f t="shared" si="38"/>
        <v>6597.5</v>
      </c>
      <c r="Q37" s="195">
        <f t="shared" si="39"/>
        <v>7105</v>
      </c>
      <c r="R37" s="195">
        <f t="shared" si="40"/>
        <v>7612.5</v>
      </c>
      <c r="S37" s="196">
        <f t="shared" si="26"/>
        <v>8120</v>
      </c>
      <c r="T37" s="195">
        <f t="shared" si="27"/>
        <v>8627.5</v>
      </c>
      <c r="U37" s="195">
        <f t="shared" si="28"/>
        <v>9135</v>
      </c>
      <c r="V37" s="195">
        <f t="shared" si="29"/>
        <v>9642.5</v>
      </c>
      <c r="W37" s="196">
        <f t="shared" si="30"/>
        <v>10150</v>
      </c>
      <c r="X37" s="195">
        <f t="shared" si="31"/>
        <v>10657.5</v>
      </c>
      <c r="Y37" s="195">
        <f t="shared" si="32"/>
        <v>11165</v>
      </c>
      <c r="Z37" s="195">
        <f t="shared" si="33"/>
        <v>11672.5</v>
      </c>
      <c r="AA37" s="196">
        <f t="shared" si="34"/>
        <v>12180</v>
      </c>
      <c r="AB37" s="20"/>
      <c r="AC37" s="2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ht="21.75" customHeight="1">
      <c r="A38" s="81"/>
      <c r="B38" s="23"/>
      <c r="C38" s="197" t="s">
        <v>6</v>
      </c>
      <c r="D38" s="198">
        <f>G38*D15</f>
        <v>841.5</v>
      </c>
      <c r="E38" s="198">
        <f>G38*E15</f>
        <v>1215.5</v>
      </c>
      <c r="F38" s="198">
        <f>G38*F15</f>
        <v>1589.5</v>
      </c>
      <c r="G38" s="199">
        <f>N11+Y9</f>
        <v>1870</v>
      </c>
      <c r="H38" s="198">
        <f t="shared" si="35"/>
        <v>2337.5</v>
      </c>
      <c r="I38" s="198">
        <f t="shared" si="36"/>
        <v>2805</v>
      </c>
      <c r="J38" s="198">
        <f t="shared" si="21"/>
        <v>3272.5</v>
      </c>
      <c r="K38" s="199">
        <f t="shared" si="22"/>
        <v>3740</v>
      </c>
      <c r="L38" s="198">
        <f t="shared" si="23"/>
        <v>4207.5</v>
      </c>
      <c r="M38" s="198">
        <f t="shared" si="24"/>
        <v>4675</v>
      </c>
      <c r="N38" s="198">
        <f t="shared" si="25"/>
        <v>5142.5</v>
      </c>
      <c r="O38" s="199">
        <f t="shared" si="37"/>
        <v>5610</v>
      </c>
      <c r="P38" s="198">
        <f t="shared" si="38"/>
        <v>6077.5</v>
      </c>
      <c r="Q38" s="198">
        <f t="shared" si="39"/>
        <v>6545</v>
      </c>
      <c r="R38" s="198">
        <f t="shared" si="40"/>
        <v>7012.5</v>
      </c>
      <c r="S38" s="199">
        <f t="shared" si="26"/>
        <v>7480</v>
      </c>
      <c r="T38" s="198">
        <f t="shared" si="27"/>
        <v>7947.5</v>
      </c>
      <c r="U38" s="198">
        <f t="shared" si="28"/>
        <v>8415</v>
      </c>
      <c r="V38" s="198">
        <f t="shared" si="29"/>
        <v>8882.5</v>
      </c>
      <c r="W38" s="199">
        <f t="shared" si="30"/>
        <v>9350</v>
      </c>
      <c r="X38" s="198">
        <f t="shared" si="31"/>
        <v>9817.5</v>
      </c>
      <c r="Y38" s="198">
        <f t="shared" si="32"/>
        <v>10285</v>
      </c>
      <c r="Z38" s="198">
        <f t="shared" si="33"/>
        <v>10752.5</v>
      </c>
      <c r="AA38" s="199">
        <f t="shared" si="34"/>
        <v>11220</v>
      </c>
      <c r="AB38" s="20"/>
      <c r="AC38" s="2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ht="21.75" customHeight="1">
      <c r="A39" s="81"/>
      <c r="B39" s="23"/>
      <c r="C39" s="201" t="s">
        <v>8</v>
      </c>
      <c r="D39" s="191">
        <f>G39*D15</f>
        <v>1237.5</v>
      </c>
      <c r="E39" s="191">
        <f>G39*E15</f>
        <v>1787.5</v>
      </c>
      <c r="F39" s="191">
        <f>G39*F15</f>
        <v>2337.5</v>
      </c>
      <c r="G39" s="192">
        <f>N11+Y10</f>
        <v>2750</v>
      </c>
      <c r="H39" s="191">
        <f t="shared" si="35"/>
        <v>3437.5</v>
      </c>
      <c r="I39" s="191">
        <f t="shared" si="36"/>
        <v>4125</v>
      </c>
      <c r="J39" s="191">
        <f t="shared" si="21"/>
        <v>4812.5</v>
      </c>
      <c r="K39" s="192">
        <f t="shared" si="22"/>
        <v>5500</v>
      </c>
      <c r="L39" s="191">
        <f t="shared" si="23"/>
        <v>6187.5</v>
      </c>
      <c r="M39" s="191">
        <f t="shared" si="24"/>
        <v>6875</v>
      </c>
      <c r="N39" s="191">
        <f t="shared" si="25"/>
        <v>7562.5</v>
      </c>
      <c r="O39" s="192">
        <f t="shared" si="37"/>
        <v>8250</v>
      </c>
      <c r="P39" s="191">
        <f t="shared" si="38"/>
        <v>8937.5</v>
      </c>
      <c r="Q39" s="191">
        <f t="shared" si="39"/>
        <v>9625</v>
      </c>
      <c r="R39" s="191">
        <f t="shared" si="40"/>
        <v>10312.5</v>
      </c>
      <c r="S39" s="192">
        <f t="shared" si="26"/>
        <v>11000</v>
      </c>
      <c r="T39" s="191">
        <f t="shared" si="27"/>
        <v>11687.5</v>
      </c>
      <c r="U39" s="191">
        <f t="shared" si="28"/>
        <v>12375</v>
      </c>
      <c r="V39" s="191">
        <f t="shared" si="29"/>
        <v>13062.5</v>
      </c>
      <c r="W39" s="192">
        <f t="shared" si="30"/>
        <v>13750</v>
      </c>
      <c r="X39" s="191">
        <f t="shared" si="31"/>
        <v>14437.5</v>
      </c>
      <c r="Y39" s="191">
        <f t="shared" si="32"/>
        <v>15125</v>
      </c>
      <c r="Z39" s="191">
        <f t="shared" si="33"/>
        <v>15812.5</v>
      </c>
      <c r="AA39" s="193">
        <f t="shared" si="34"/>
        <v>16500</v>
      </c>
      <c r="AB39" s="20"/>
      <c r="AC39" s="2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ht="21.75" customHeight="1">
      <c r="A40" s="81"/>
      <c r="B40" s="23"/>
      <c r="C40" s="202" t="s">
        <v>46</v>
      </c>
      <c r="D40" s="195">
        <f>G40*D15</f>
        <v>972</v>
      </c>
      <c r="E40" s="195">
        <f>G40*E15</f>
        <v>1404</v>
      </c>
      <c r="F40" s="195">
        <f>G40*F15</f>
        <v>1836</v>
      </c>
      <c r="G40" s="196">
        <f>N11+Y11</f>
        <v>2160</v>
      </c>
      <c r="H40" s="195">
        <f t="shared" si="35"/>
        <v>2700</v>
      </c>
      <c r="I40" s="195">
        <f t="shared" si="36"/>
        <v>3240</v>
      </c>
      <c r="J40" s="195">
        <f t="shared" si="21"/>
        <v>3780</v>
      </c>
      <c r="K40" s="196">
        <f t="shared" si="22"/>
        <v>4320</v>
      </c>
      <c r="L40" s="195">
        <f t="shared" si="23"/>
        <v>4860</v>
      </c>
      <c r="M40" s="195">
        <f t="shared" si="24"/>
        <v>5400</v>
      </c>
      <c r="N40" s="195">
        <f t="shared" si="25"/>
        <v>5940</v>
      </c>
      <c r="O40" s="196">
        <f t="shared" si="37"/>
        <v>6480</v>
      </c>
      <c r="P40" s="195">
        <f t="shared" si="38"/>
        <v>7020</v>
      </c>
      <c r="Q40" s="195">
        <f t="shared" si="39"/>
        <v>7560</v>
      </c>
      <c r="R40" s="195">
        <f t="shared" si="40"/>
        <v>8100</v>
      </c>
      <c r="S40" s="196">
        <f t="shared" si="26"/>
        <v>8640</v>
      </c>
      <c r="T40" s="195">
        <f t="shared" si="27"/>
        <v>9180</v>
      </c>
      <c r="U40" s="195">
        <f t="shared" si="28"/>
        <v>9720</v>
      </c>
      <c r="V40" s="195">
        <f t="shared" si="29"/>
        <v>10260</v>
      </c>
      <c r="W40" s="196">
        <f t="shared" si="30"/>
        <v>10800</v>
      </c>
      <c r="X40" s="195">
        <f t="shared" si="31"/>
        <v>11340</v>
      </c>
      <c r="Y40" s="195">
        <f t="shared" si="32"/>
        <v>11880</v>
      </c>
      <c r="Z40" s="195">
        <f t="shared" si="33"/>
        <v>12420</v>
      </c>
      <c r="AA40" s="196">
        <f t="shared" si="34"/>
        <v>12960</v>
      </c>
      <c r="AB40" s="20"/>
      <c r="AC40" s="2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ht="21.75" customHeight="1">
      <c r="A41" s="81"/>
      <c r="B41" s="50"/>
      <c r="C41" s="203" t="s">
        <v>11</v>
      </c>
      <c r="D41" s="198">
        <f>G41*D15</f>
        <v>877.5</v>
      </c>
      <c r="E41" s="198">
        <f>G41*E15</f>
        <v>1267.5</v>
      </c>
      <c r="F41" s="198">
        <f>G41*F15</f>
        <v>1657.5</v>
      </c>
      <c r="G41" s="199">
        <f>N11+Y12</f>
        <v>1950</v>
      </c>
      <c r="H41" s="198">
        <f t="shared" si="35"/>
        <v>2437.5</v>
      </c>
      <c r="I41" s="198">
        <f t="shared" si="36"/>
        <v>2925</v>
      </c>
      <c r="J41" s="198">
        <f t="shared" si="21"/>
        <v>3412.5</v>
      </c>
      <c r="K41" s="199">
        <f t="shared" si="22"/>
        <v>3900</v>
      </c>
      <c r="L41" s="198">
        <f t="shared" si="23"/>
        <v>4387.5</v>
      </c>
      <c r="M41" s="198">
        <f t="shared" si="24"/>
        <v>4875</v>
      </c>
      <c r="N41" s="198">
        <f t="shared" si="25"/>
        <v>5362.5</v>
      </c>
      <c r="O41" s="199">
        <f t="shared" si="37"/>
        <v>5850</v>
      </c>
      <c r="P41" s="198">
        <f t="shared" si="38"/>
        <v>6337.5</v>
      </c>
      <c r="Q41" s="198">
        <f t="shared" si="39"/>
        <v>6825</v>
      </c>
      <c r="R41" s="198">
        <f t="shared" si="40"/>
        <v>7312.5</v>
      </c>
      <c r="S41" s="199">
        <f t="shared" si="26"/>
        <v>7800</v>
      </c>
      <c r="T41" s="198">
        <f t="shared" si="27"/>
        <v>8287.5</v>
      </c>
      <c r="U41" s="198">
        <f t="shared" si="28"/>
        <v>8775</v>
      </c>
      <c r="V41" s="198">
        <f t="shared" si="29"/>
        <v>9262.5</v>
      </c>
      <c r="W41" s="199">
        <f t="shared" si="30"/>
        <v>9750</v>
      </c>
      <c r="X41" s="198">
        <f t="shared" si="31"/>
        <v>10237.5</v>
      </c>
      <c r="Y41" s="198">
        <f t="shared" si="32"/>
        <v>10725</v>
      </c>
      <c r="Z41" s="198">
        <f t="shared" si="33"/>
        <v>11212.5</v>
      </c>
      <c r="AA41" s="199">
        <f t="shared" si="34"/>
        <v>11700</v>
      </c>
      <c r="AB41" s="20"/>
      <c r="AC41" s="2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ht="21.75" customHeight="1">
      <c r="A42" s="81"/>
      <c r="B42" s="188" t="s">
        <v>66</v>
      </c>
      <c r="C42" s="189" t="s">
        <v>4</v>
      </c>
      <c r="D42" s="191">
        <f>G42*D15</f>
        <v>1129.5</v>
      </c>
      <c r="E42" s="191">
        <f>G42*E15</f>
        <v>1631.5</v>
      </c>
      <c r="F42" s="191">
        <f>G42*F15</f>
        <v>2133.5</v>
      </c>
      <c r="G42" s="192">
        <f>N12+Y7</f>
        <v>2510</v>
      </c>
      <c r="H42" s="191">
        <f t="shared" si="35"/>
        <v>3137.5</v>
      </c>
      <c r="I42" s="191">
        <f t="shared" si="36"/>
        <v>3765</v>
      </c>
      <c r="J42" s="191">
        <f t="shared" si="21"/>
        <v>4392.5</v>
      </c>
      <c r="K42" s="192">
        <f t="shared" si="22"/>
        <v>5020</v>
      </c>
      <c r="L42" s="191">
        <f t="shared" si="23"/>
        <v>5647.5</v>
      </c>
      <c r="M42" s="191">
        <f t="shared" si="24"/>
        <v>6275</v>
      </c>
      <c r="N42" s="191">
        <f t="shared" si="25"/>
        <v>6902.5</v>
      </c>
      <c r="O42" s="192">
        <f t="shared" si="37"/>
        <v>7530</v>
      </c>
      <c r="P42" s="191">
        <f t="shared" si="38"/>
        <v>8157.5</v>
      </c>
      <c r="Q42" s="191">
        <f t="shared" si="39"/>
        <v>8785</v>
      </c>
      <c r="R42" s="191">
        <f t="shared" si="40"/>
        <v>9412.5</v>
      </c>
      <c r="S42" s="192">
        <f t="shared" si="26"/>
        <v>10040</v>
      </c>
      <c r="T42" s="191">
        <f t="shared" si="27"/>
        <v>10667.5</v>
      </c>
      <c r="U42" s="191">
        <f t="shared" si="28"/>
        <v>11295</v>
      </c>
      <c r="V42" s="191">
        <f t="shared" si="29"/>
        <v>11922.5</v>
      </c>
      <c r="W42" s="192">
        <f t="shared" si="30"/>
        <v>12550</v>
      </c>
      <c r="X42" s="191">
        <f t="shared" si="31"/>
        <v>13177.5</v>
      </c>
      <c r="Y42" s="191">
        <f t="shared" si="32"/>
        <v>13805</v>
      </c>
      <c r="Z42" s="191">
        <f t="shared" si="33"/>
        <v>14432.5</v>
      </c>
      <c r="AA42" s="193">
        <f t="shared" si="34"/>
        <v>15060</v>
      </c>
      <c r="AB42" s="20"/>
      <c r="AC42" s="2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ht="21.75" customHeight="1">
      <c r="A43" s="81"/>
      <c r="B43" s="23"/>
      <c r="C43" s="194" t="s">
        <v>45</v>
      </c>
      <c r="D43" s="195">
        <f>G43*D15</f>
        <v>936</v>
      </c>
      <c r="E43" s="195">
        <f>G43*E15</f>
        <v>1352</v>
      </c>
      <c r="F43" s="195">
        <f>G43*F15</f>
        <v>1768</v>
      </c>
      <c r="G43" s="196">
        <f>N12+Y8</f>
        <v>2080</v>
      </c>
      <c r="H43" s="195">
        <f t="shared" si="35"/>
        <v>2600</v>
      </c>
      <c r="I43" s="195">
        <f t="shared" si="36"/>
        <v>3120</v>
      </c>
      <c r="J43" s="195">
        <f t="shared" si="21"/>
        <v>3640</v>
      </c>
      <c r="K43" s="196">
        <f t="shared" si="22"/>
        <v>4160</v>
      </c>
      <c r="L43" s="195">
        <f t="shared" si="23"/>
        <v>4680</v>
      </c>
      <c r="M43" s="195">
        <f t="shared" si="24"/>
        <v>5200</v>
      </c>
      <c r="N43" s="195">
        <f t="shared" si="25"/>
        <v>5720</v>
      </c>
      <c r="O43" s="196">
        <f t="shared" si="37"/>
        <v>6240</v>
      </c>
      <c r="P43" s="195">
        <f t="shared" si="38"/>
        <v>6760</v>
      </c>
      <c r="Q43" s="195">
        <f t="shared" si="39"/>
        <v>7280</v>
      </c>
      <c r="R43" s="195">
        <f t="shared" si="40"/>
        <v>7800</v>
      </c>
      <c r="S43" s="196">
        <f t="shared" si="26"/>
        <v>8320</v>
      </c>
      <c r="T43" s="195">
        <f t="shared" si="27"/>
        <v>8840</v>
      </c>
      <c r="U43" s="195">
        <f t="shared" si="28"/>
        <v>9360</v>
      </c>
      <c r="V43" s="195">
        <f t="shared" si="29"/>
        <v>9880</v>
      </c>
      <c r="W43" s="196">
        <f t="shared" si="30"/>
        <v>10400</v>
      </c>
      <c r="X43" s="195">
        <f t="shared" si="31"/>
        <v>10920</v>
      </c>
      <c r="Y43" s="195">
        <f t="shared" si="32"/>
        <v>11440</v>
      </c>
      <c r="Z43" s="195">
        <f t="shared" si="33"/>
        <v>11960</v>
      </c>
      <c r="AA43" s="196">
        <f t="shared" si="34"/>
        <v>12480</v>
      </c>
      <c r="AB43" s="20"/>
      <c r="AC43" s="2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ht="21.75" customHeight="1">
      <c r="A44" s="81"/>
      <c r="B44" s="23"/>
      <c r="C44" s="197" t="s">
        <v>6</v>
      </c>
      <c r="D44" s="198">
        <f>G44*D15</f>
        <v>864</v>
      </c>
      <c r="E44" s="198">
        <f>G44*E15</f>
        <v>1248</v>
      </c>
      <c r="F44" s="198">
        <f>G44*F15</f>
        <v>1632</v>
      </c>
      <c r="G44" s="199">
        <f>N12+Y9</f>
        <v>1920</v>
      </c>
      <c r="H44" s="198">
        <f t="shared" si="35"/>
        <v>2400</v>
      </c>
      <c r="I44" s="198">
        <f t="shared" si="36"/>
        <v>2880</v>
      </c>
      <c r="J44" s="198">
        <f t="shared" si="21"/>
        <v>3360</v>
      </c>
      <c r="K44" s="199">
        <f t="shared" si="22"/>
        <v>3840</v>
      </c>
      <c r="L44" s="198">
        <f t="shared" si="23"/>
        <v>4320</v>
      </c>
      <c r="M44" s="198">
        <f t="shared" si="24"/>
        <v>4800</v>
      </c>
      <c r="N44" s="198">
        <f t="shared" si="25"/>
        <v>5280</v>
      </c>
      <c r="O44" s="199">
        <f t="shared" si="37"/>
        <v>5760</v>
      </c>
      <c r="P44" s="198">
        <f t="shared" si="38"/>
        <v>6240</v>
      </c>
      <c r="Q44" s="198">
        <f t="shared" si="39"/>
        <v>6720</v>
      </c>
      <c r="R44" s="198">
        <f t="shared" si="40"/>
        <v>7200</v>
      </c>
      <c r="S44" s="199">
        <f t="shared" si="26"/>
        <v>7680</v>
      </c>
      <c r="T44" s="198">
        <f t="shared" si="27"/>
        <v>8160</v>
      </c>
      <c r="U44" s="198">
        <f t="shared" si="28"/>
        <v>8640</v>
      </c>
      <c r="V44" s="198">
        <f t="shared" si="29"/>
        <v>9120</v>
      </c>
      <c r="W44" s="199">
        <f t="shared" si="30"/>
        <v>9600</v>
      </c>
      <c r="X44" s="198">
        <f t="shared" si="31"/>
        <v>10080</v>
      </c>
      <c r="Y44" s="198">
        <f t="shared" si="32"/>
        <v>10560</v>
      </c>
      <c r="Z44" s="198">
        <f t="shared" si="33"/>
        <v>11040</v>
      </c>
      <c r="AA44" s="199">
        <f t="shared" si="34"/>
        <v>11520</v>
      </c>
      <c r="AB44" s="20"/>
      <c r="AC44" s="2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ht="21.75" customHeight="1">
      <c r="A45" s="81"/>
      <c r="B45" s="23"/>
      <c r="C45" s="201" t="s">
        <v>8</v>
      </c>
      <c r="D45" s="191">
        <f>G45*D15</f>
        <v>1260</v>
      </c>
      <c r="E45" s="191">
        <f>G45*E15</f>
        <v>1820</v>
      </c>
      <c r="F45" s="191">
        <f>G45*F15</f>
        <v>2380</v>
      </c>
      <c r="G45" s="192">
        <f>N12+Y10</f>
        <v>2800</v>
      </c>
      <c r="H45" s="191">
        <f t="shared" si="35"/>
        <v>3500</v>
      </c>
      <c r="I45" s="191">
        <f t="shared" si="36"/>
        <v>4200</v>
      </c>
      <c r="J45" s="191">
        <f t="shared" si="21"/>
        <v>4900</v>
      </c>
      <c r="K45" s="192">
        <f t="shared" si="22"/>
        <v>5600</v>
      </c>
      <c r="L45" s="191">
        <f t="shared" si="23"/>
        <v>6300</v>
      </c>
      <c r="M45" s="191">
        <f t="shared" si="24"/>
        <v>7000</v>
      </c>
      <c r="N45" s="191">
        <f t="shared" si="25"/>
        <v>7700</v>
      </c>
      <c r="O45" s="192">
        <f t="shared" si="37"/>
        <v>8400</v>
      </c>
      <c r="P45" s="191">
        <f t="shared" si="38"/>
        <v>9100</v>
      </c>
      <c r="Q45" s="191">
        <f t="shared" si="39"/>
        <v>9800</v>
      </c>
      <c r="R45" s="191">
        <f t="shared" si="40"/>
        <v>10500</v>
      </c>
      <c r="S45" s="192">
        <f t="shared" si="26"/>
        <v>11200</v>
      </c>
      <c r="T45" s="191">
        <f t="shared" si="27"/>
        <v>11900</v>
      </c>
      <c r="U45" s="191">
        <f t="shared" si="28"/>
        <v>12600</v>
      </c>
      <c r="V45" s="191">
        <f t="shared" si="29"/>
        <v>13300</v>
      </c>
      <c r="W45" s="192">
        <f t="shared" si="30"/>
        <v>14000</v>
      </c>
      <c r="X45" s="191">
        <f t="shared" si="31"/>
        <v>14700</v>
      </c>
      <c r="Y45" s="191">
        <f t="shared" si="32"/>
        <v>15400</v>
      </c>
      <c r="Z45" s="191">
        <f t="shared" si="33"/>
        <v>16100</v>
      </c>
      <c r="AA45" s="193">
        <f t="shared" si="34"/>
        <v>16800</v>
      </c>
      <c r="AB45" s="20"/>
      <c r="AC45" s="2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ht="21.75" customHeight="1">
      <c r="A46" s="81"/>
      <c r="B46" s="23"/>
      <c r="C46" s="202" t="s">
        <v>46</v>
      </c>
      <c r="D46" s="195">
        <f>G46*D15</f>
        <v>994.5</v>
      </c>
      <c r="E46" s="195">
        <f>G46*E15</f>
        <v>1436.5</v>
      </c>
      <c r="F46" s="195">
        <f>G46*F15</f>
        <v>1878.5</v>
      </c>
      <c r="G46" s="196">
        <f>N12+Y11</f>
        <v>2210</v>
      </c>
      <c r="H46" s="195">
        <f t="shared" si="35"/>
        <v>2762.5</v>
      </c>
      <c r="I46" s="195">
        <f t="shared" si="36"/>
        <v>3315</v>
      </c>
      <c r="J46" s="195">
        <f t="shared" si="21"/>
        <v>3867.5</v>
      </c>
      <c r="K46" s="196">
        <f t="shared" si="22"/>
        <v>4420</v>
      </c>
      <c r="L46" s="195">
        <f t="shared" si="23"/>
        <v>4972.5</v>
      </c>
      <c r="M46" s="195">
        <f t="shared" si="24"/>
        <v>5525</v>
      </c>
      <c r="N46" s="195">
        <f t="shared" si="25"/>
        <v>6077.5</v>
      </c>
      <c r="O46" s="196">
        <f t="shared" si="37"/>
        <v>6630</v>
      </c>
      <c r="P46" s="195">
        <f t="shared" si="38"/>
        <v>7182.5</v>
      </c>
      <c r="Q46" s="195">
        <f t="shared" si="39"/>
        <v>7735</v>
      </c>
      <c r="R46" s="195">
        <f t="shared" si="40"/>
        <v>8287.5</v>
      </c>
      <c r="S46" s="196">
        <f t="shared" si="26"/>
        <v>8840</v>
      </c>
      <c r="T46" s="195">
        <f t="shared" si="27"/>
        <v>9392.5</v>
      </c>
      <c r="U46" s="195">
        <f t="shared" si="28"/>
        <v>9945</v>
      </c>
      <c r="V46" s="195">
        <f t="shared" si="29"/>
        <v>10497.5</v>
      </c>
      <c r="W46" s="196">
        <f t="shared" si="30"/>
        <v>11050</v>
      </c>
      <c r="X46" s="195">
        <f t="shared" si="31"/>
        <v>11602.5</v>
      </c>
      <c r="Y46" s="195">
        <f t="shared" si="32"/>
        <v>12155</v>
      </c>
      <c r="Z46" s="195">
        <f t="shared" si="33"/>
        <v>12707.5</v>
      </c>
      <c r="AA46" s="196">
        <f t="shared" si="34"/>
        <v>13260</v>
      </c>
      <c r="AB46" s="20"/>
      <c r="AC46" s="2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ht="21.75" customHeight="1">
      <c r="A47" s="204"/>
      <c r="B47" s="50"/>
      <c r="C47" s="203" t="s">
        <v>11</v>
      </c>
      <c r="D47" s="198">
        <f>G47*D15</f>
        <v>900</v>
      </c>
      <c r="E47" s="198">
        <f>G47*E15</f>
        <v>1300</v>
      </c>
      <c r="F47" s="198">
        <f>G47*F15</f>
        <v>1700</v>
      </c>
      <c r="G47" s="199">
        <f>N12+Y12</f>
        <v>2000</v>
      </c>
      <c r="H47" s="198">
        <f t="shared" si="35"/>
        <v>2500</v>
      </c>
      <c r="I47" s="198">
        <f t="shared" si="36"/>
        <v>3000</v>
      </c>
      <c r="J47" s="198">
        <f t="shared" si="21"/>
        <v>3500</v>
      </c>
      <c r="K47" s="199">
        <f t="shared" si="22"/>
        <v>4000</v>
      </c>
      <c r="L47" s="198">
        <f t="shared" si="23"/>
        <v>4500</v>
      </c>
      <c r="M47" s="198">
        <f t="shared" si="24"/>
        <v>5000</v>
      </c>
      <c r="N47" s="198">
        <f t="shared" si="25"/>
        <v>5500</v>
      </c>
      <c r="O47" s="199">
        <f t="shared" si="37"/>
        <v>6000</v>
      </c>
      <c r="P47" s="198">
        <f t="shared" si="38"/>
        <v>6500</v>
      </c>
      <c r="Q47" s="198">
        <f t="shared" si="39"/>
        <v>7000</v>
      </c>
      <c r="R47" s="198">
        <f t="shared" si="40"/>
        <v>7500</v>
      </c>
      <c r="S47" s="199">
        <f t="shared" si="26"/>
        <v>8000</v>
      </c>
      <c r="T47" s="198">
        <f t="shared" si="27"/>
        <v>8500</v>
      </c>
      <c r="U47" s="198">
        <f t="shared" si="28"/>
        <v>9000</v>
      </c>
      <c r="V47" s="198">
        <f t="shared" si="29"/>
        <v>9500</v>
      </c>
      <c r="W47" s="199">
        <f t="shared" si="30"/>
        <v>10000</v>
      </c>
      <c r="X47" s="198">
        <f t="shared" si="31"/>
        <v>10500</v>
      </c>
      <c r="Y47" s="198">
        <f t="shared" si="32"/>
        <v>11000</v>
      </c>
      <c r="Z47" s="198">
        <f t="shared" si="33"/>
        <v>11500</v>
      </c>
      <c r="AA47" s="199">
        <f t="shared" si="34"/>
        <v>12000</v>
      </c>
      <c r="AB47" s="20"/>
      <c r="AC47" s="2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ht="15.75" customHeight="1">
      <c r="A48" s="9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ht="15.0" customHeight="1">
      <c r="A49" s="94" t="s">
        <v>49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ht="15.0" customHeight="1">
      <c r="A50" s="94" t="s">
        <v>50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ht="15.75" customHeight="1">
      <c r="A51" s="9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ht="15.75" customHeight="1">
      <c r="A52" s="9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ht="15.75" customHeight="1">
      <c r="A53" s="9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ht="15.75" customHeight="1">
      <c r="A54" s="9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ht="15.75" customHeight="1">
      <c r="A55" s="9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ht="15.75" customHeight="1">
      <c r="A56" s="9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ht="15.75" customHeight="1">
      <c r="A57" s="9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ht="15.75" customHeight="1">
      <c r="A58" s="9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ht="15.75" customHeight="1">
      <c r="A59" s="9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ht="15.75" customHeight="1">
      <c r="A60" s="9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ht="15.75" customHeight="1">
      <c r="A61" s="9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ht="15.75" customHeight="1">
      <c r="A62" s="9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ht="15.75" customHeight="1">
      <c r="A63" s="9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ht="15.75" customHeight="1">
      <c r="A64" s="9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ht="15.75" customHeight="1">
      <c r="A65" s="9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ht="15.75" customHeight="1">
      <c r="A66" s="9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ht="15.75" customHeight="1">
      <c r="A67" s="9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ht="15.75" customHeight="1">
      <c r="A68" s="9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ht="15.75" customHeight="1">
      <c r="A69" s="9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ht="15.75" customHeight="1">
      <c r="A70" s="9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ht="15.75" customHeight="1">
      <c r="A71" s="9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ht="15.75" customHeight="1">
      <c r="A72" s="9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ht="15.75" customHeight="1">
      <c r="A73" s="9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ht="15.75" customHeight="1">
      <c r="A74" s="9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ht="15.75" customHeight="1">
      <c r="A75" s="9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ht="15.75" customHeight="1">
      <c r="A76" s="9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ht="15.75" customHeight="1">
      <c r="A77" s="9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ht="15.75" customHeight="1">
      <c r="A78" s="9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ht="15.75" customHeight="1">
      <c r="A79" s="9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ht="15.75" customHeight="1">
      <c r="A80" s="9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ht="15.75" customHeight="1">
      <c r="A81" s="9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ht="15.75" customHeight="1">
      <c r="A82" s="9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ht="15.75" customHeight="1">
      <c r="A83" s="9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ht="15.75" customHeight="1">
      <c r="A84" s="9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ht="15.75" customHeight="1">
      <c r="A85" s="9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ht="15.75" customHeight="1">
      <c r="A86" s="9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ht="15.75" customHeight="1">
      <c r="A87" s="9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ht="15.75" customHeight="1">
      <c r="A88" s="9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ht="15.75" customHeight="1">
      <c r="A89" s="9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ht="15.75" customHeight="1">
      <c r="A90" s="9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ht="15.75" customHeight="1">
      <c r="A91" s="9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ht="15.75" customHeight="1">
      <c r="A92" s="9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ht="15.75" customHeight="1">
      <c r="A93" s="9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ht="15.75" customHeight="1">
      <c r="A94" s="9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ht="15.75" customHeight="1">
      <c r="A95" s="9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ht="15.75" customHeight="1">
      <c r="A96" s="9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ht="15.75" customHeight="1">
      <c r="A97" s="9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ht="15.75" customHeight="1">
      <c r="A98" s="9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ht="15.75" customHeight="1">
      <c r="A99" s="9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ht="15.75" customHeight="1">
      <c r="A100" s="9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ht="15.75" customHeight="1">
      <c r="A101" s="9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ht="15.75" customHeight="1">
      <c r="A102" s="9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ht="15.75" customHeight="1">
      <c r="A103" s="9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ht="15.75" customHeight="1">
      <c r="A104" s="9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ht="15.75" customHeight="1">
      <c r="A105" s="9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ht="15.75" customHeight="1">
      <c r="A106" s="9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ht="15.75" customHeight="1">
      <c r="A107" s="9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ht="15.75" customHeight="1">
      <c r="A108" s="9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ht="15.75" customHeight="1">
      <c r="A109" s="9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ht="15.75" customHeight="1">
      <c r="A110" s="9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ht="15.75" customHeight="1">
      <c r="A111" s="9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ht="15.75" customHeight="1">
      <c r="A112" s="9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ht="15.75" customHeight="1">
      <c r="A113" s="9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ht="15.75" customHeight="1">
      <c r="A114" s="9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ht="15.75" customHeight="1">
      <c r="A115" s="9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ht="15.75" customHeight="1">
      <c r="A116" s="9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ht="15.75" customHeight="1">
      <c r="A117" s="9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ht="15.75" customHeight="1">
      <c r="A118" s="9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ht="15.75" customHeight="1">
      <c r="A119" s="9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ht="15.75" customHeight="1">
      <c r="A120" s="9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ht="15.75" customHeight="1">
      <c r="A121" s="9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ht="15.75" customHeight="1">
      <c r="A122" s="9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ht="15.75" customHeight="1">
      <c r="A123" s="9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ht="15.75" customHeight="1">
      <c r="A124" s="9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ht="15.75" customHeight="1">
      <c r="A125" s="9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ht="15.75" customHeight="1">
      <c r="A126" s="9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ht="15.75" customHeight="1">
      <c r="A127" s="9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ht="15.75" customHeight="1">
      <c r="A128" s="9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ht="15.75" customHeight="1">
      <c r="A129" s="9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ht="15.75" customHeight="1">
      <c r="A130" s="9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ht="15.75" customHeight="1">
      <c r="A131" s="9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ht="15.75" customHeight="1">
      <c r="A132" s="9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ht="15.75" customHeight="1">
      <c r="A133" s="9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ht="15.75" customHeight="1">
      <c r="A134" s="9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ht="15.75" customHeight="1">
      <c r="A135" s="9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ht="15.75" customHeight="1">
      <c r="A136" s="9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ht="15.75" customHeight="1">
      <c r="A137" s="9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ht="15.75" customHeight="1">
      <c r="A138" s="9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ht="15.75" customHeight="1">
      <c r="A139" s="9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ht="15.75" customHeight="1">
      <c r="A140" s="9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ht="15.75" customHeight="1">
      <c r="A141" s="9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ht="15.75" customHeight="1">
      <c r="A142" s="9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ht="15.75" customHeight="1">
      <c r="A143" s="9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ht="15.75" customHeight="1">
      <c r="A144" s="9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ht="15.75" customHeight="1">
      <c r="A145" s="9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ht="15.75" customHeight="1">
      <c r="A146" s="9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ht="15.75" customHeight="1">
      <c r="A147" s="9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ht="15.75" customHeight="1">
      <c r="A148" s="9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ht="15.75" customHeight="1">
      <c r="A149" s="9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ht="15.75" customHeight="1">
      <c r="A150" s="9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ht="15.75" customHeight="1">
      <c r="A151" s="9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ht="15.75" customHeight="1">
      <c r="A152" s="9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ht="15.75" customHeight="1">
      <c r="A153" s="9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ht="15.75" customHeight="1">
      <c r="A154" s="9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ht="15.75" customHeight="1">
      <c r="A155" s="9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ht="15.75" customHeight="1">
      <c r="A156" s="9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ht="15.75" customHeight="1">
      <c r="A157" s="9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ht="15.75" customHeight="1">
      <c r="A158" s="9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ht="15.75" customHeight="1">
      <c r="A159" s="9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ht="15.75" customHeight="1">
      <c r="A160" s="9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ht="15.75" customHeight="1">
      <c r="A161" s="9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ht="15.75" customHeight="1">
      <c r="A162" s="9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ht="15.75" customHeight="1">
      <c r="A163" s="9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ht="15.75" customHeight="1">
      <c r="A164" s="9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ht="15.75" customHeight="1">
      <c r="A165" s="9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ht="15.75" customHeight="1">
      <c r="A166" s="9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ht="15.75" customHeight="1">
      <c r="A167" s="9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ht="15.75" customHeight="1">
      <c r="A168" s="9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ht="15.75" customHeight="1">
      <c r="A169" s="9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ht="15.75" customHeight="1">
      <c r="A170" s="9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ht="15.75" customHeight="1">
      <c r="A171" s="9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ht="15.75" customHeight="1">
      <c r="A172" s="9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ht="15.75" customHeight="1">
      <c r="A173" s="9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ht="15.75" customHeight="1">
      <c r="A174" s="9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ht="15.75" customHeight="1">
      <c r="A175" s="9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ht="15.75" customHeight="1">
      <c r="A176" s="9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ht="15.75" customHeight="1">
      <c r="A177" s="9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ht="15.75" customHeight="1">
      <c r="A178" s="9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ht="15.75" customHeight="1">
      <c r="A179" s="9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ht="15.75" customHeight="1">
      <c r="A180" s="9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ht="15.75" customHeight="1">
      <c r="A181" s="9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ht="15.75" customHeight="1">
      <c r="A182" s="9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ht="15.75" customHeight="1">
      <c r="A183" s="9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ht="15.75" customHeight="1">
      <c r="A184" s="9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ht="15.75" customHeight="1">
      <c r="A185" s="9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ht="15.75" customHeight="1">
      <c r="A186" s="9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ht="15.75" customHeight="1">
      <c r="A187" s="9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ht="15.75" customHeight="1">
      <c r="A188" s="9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ht="15.75" customHeight="1">
      <c r="A189" s="9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ht="15.75" customHeight="1">
      <c r="A190" s="9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ht="15.75" customHeight="1">
      <c r="A191" s="9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ht="15.75" customHeight="1">
      <c r="A192" s="9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ht="15.75" customHeight="1">
      <c r="A193" s="9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ht="15.75" customHeight="1">
      <c r="A194" s="9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ht="15.75" customHeight="1">
      <c r="A195" s="9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ht="15.75" customHeight="1">
      <c r="A196" s="9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ht="15.75" customHeight="1">
      <c r="A197" s="9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ht="15.75" customHeight="1">
      <c r="A198" s="9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ht="15.75" customHeight="1">
      <c r="A199" s="9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ht="15.75" customHeight="1">
      <c r="A200" s="9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ht="15.75" customHeight="1">
      <c r="A201" s="9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ht="15.75" customHeight="1">
      <c r="A202" s="9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ht="15.75" customHeight="1">
      <c r="A203" s="9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ht="15.75" customHeight="1">
      <c r="A204" s="9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ht="15.75" customHeight="1">
      <c r="A205" s="9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ht="15.75" customHeight="1">
      <c r="A206" s="9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ht="15.75" customHeight="1">
      <c r="A207" s="9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ht="15.75" customHeight="1">
      <c r="A208" s="9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ht="15.75" customHeight="1">
      <c r="A209" s="9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ht="15.75" customHeight="1">
      <c r="A210" s="9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ht="15.75" customHeight="1">
      <c r="A211" s="9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ht="15.75" customHeight="1">
      <c r="A212" s="9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ht="15.75" customHeight="1">
      <c r="A213" s="9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ht="15.75" customHeight="1">
      <c r="A214" s="9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ht="15.75" customHeight="1">
      <c r="A215" s="9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ht="15.75" customHeight="1">
      <c r="A216" s="9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ht="15.75" customHeight="1">
      <c r="A217" s="9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ht="15.75" customHeight="1">
      <c r="A218" s="9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ht="15.75" customHeight="1">
      <c r="A219" s="9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ht="15.75" customHeight="1">
      <c r="A220" s="9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ht="15.75" customHeight="1">
      <c r="A221" s="9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ht="15.75" customHeight="1">
      <c r="A222" s="9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ht="15.75" customHeight="1">
      <c r="A223" s="9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ht="15.75" customHeight="1">
      <c r="A224" s="9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ht="15.75" customHeight="1">
      <c r="A225" s="9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ht="15.75" customHeight="1">
      <c r="A226" s="9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ht="15.75" customHeight="1">
      <c r="A227" s="9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ht="15.75" customHeight="1">
      <c r="A228" s="9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ht="15.75" customHeight="1">
      <c r="A229" s="9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ht="15.75" customHeight="1">
      <c r="A230" s="9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ht="15.75" customHeight="1">
      <c r="A231" s="9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ht="15.75" customHeight="1">
      <c r="A232" s="9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ht="15.75" customHeight="1">
      <c r="A233" s="9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ht="15.75" customHeight="1">
      <c r="A234" s="9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ht="15.75" customHeight="1">
      <c r="A235" s="9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ht="15.75" customHeight="1">
      <c r="A236" s="9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ht="15.75" customHeight="1">
      <c r="A237" s="9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ht="15.75" customHeight="1">
      <c r="A238" s="9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ht="15.75" customHeight="1">
      <c r="A239" s="9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ht="15.75" customHeight="1">
      <c r="A240" s="9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ht="15.75" customHeight="1">
      <c r="A241" s="9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ht="15.75" customHeight="1">
      <c r="A242" s="9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ht="15.75" customHeight="1">
      <c r="A243" s="9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ht="15.75" customHeight="1">
      <c r="A244" s="9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ht="15.75" customHeight="1">
      <c r="A245" s="9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ht="15.75" customHeight="1">
      <c r="A246" s="9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ht="15.75" customHeight="1">
      <c r="A247" s="9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ht="15.75" customHeight="1">
      <c r="A248" s="9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ht="15.75" customHeight="1">
      <c r="A249" s="9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ht="15.75" customHeight="1">
      <c r="A250" s="9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ht="15.75" customHeight="1">
      <c r="A251" s="9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ht="15.75" customHeight="1">
      <c r="A252" s="9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ht="15.75" customHeight="1">
      <c r="A253" s="9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ht="15.75" customHeight="1">
      <c r="A254" s="9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ht="15.75" customHeight="1">
      <c r="A255" s="9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ht="15.75" customHeight="1">
      <c r="A256" s="9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ht="15.75" customHeight="1">
      <c r="A257" s="9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ht="15.75" customHeight="1">
      <c r="A258" s="9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ht="15.75" customHeight="1">
      <c r="A259" s="9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ht="15.75" customHeight="1">
      <c r="A260" s="9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ht="15.75" customHeight="1">
      <c r="A261" s="9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ht="15.75" customHeight="1">
      <c r="A262" s="9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ht="15.75" customHeight="1">
      <c r="A263" s="9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ht="15.75" customHeight="1">
      <c r="A264" s="9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ht="15.75" customHeight="1">
      <c r="A265" s="9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ht="15.75" customHeight="1">
      <c r="A266" s="9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ht="15.75" customHeight="1">
      <c r="A267" s="9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ht="15.75" customHeight="1">
      <c r="A268" s="9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ht="15.75" customHeight="1">
      <c r="A269" s="9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ht="15.75" customHeight="1">
      <c r="A270" s="9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ht="15.75" customHeight="1">
      <c r="A271" s="9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ht="15.75" customHeight="1">
      <c r="A272" s="9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ht="15.75" customHeight="1">
      <c r="A273" s="9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ht="15.75" customHeight="1">
      <c r="A274" s="9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ht="15.75" customHeight="1">
      <c r="A275" s="9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ht="15.75" customHeight="1">
      <c r="A276" s="9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ht="15.75" customHeight="1">
      <c r="A277" s="9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ht="15.75" customHeight="1">
      <c r="A278" s="9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ht="15.75" customHeight="1">
      <c r="A279" s="9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ht="15.75" customHeight="1">
      <c r="A280" s="9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ht="15.75" customHeight="1">
      <c r="A281" s="9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ht="15.75" customHeight="1">
      <c r="A282" s="9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ht="15.75" customHeight="1">
      <c r="A283" s="9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ht="15.75" customHeight="1">
      <c r="A284" s="9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ht="15.75" customHeight="1">
      <c r="A285" s="9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ht="15.75" customHeight="1">
      <c r="A286" s="9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ht="15.75" customHeight="1">
      <c r="A287" s="9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ht="15.75" customHeight="1">
      <c r="A288" s="9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ht="15.75" customHeight="1">
      <c r="A289" s="9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ht="15.75" customHeight="1">
      <c r="A290" s="9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ht="15.75" customHeight="1">
      <c r="A291" s="9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ht="15.75" customHeight="1">
      <c r="A292" s="9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ht="15.75" customHeight="1">
      <c r="A293" s="9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ht="15.75" customHeight="1">
      <c r="A294" s="9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ht="15.75" customHeight="1">
      <c r="A295" s="9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ht="15.75" customHeight="1">
      <c r="A296" s="9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ht="15.75" customHeight="1">
      <c r="A297" s="9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ht="15.75" customHeight="1">
      <c r="A298" s="9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ht="15.75" customHeight="1">
      <c r="A299" s="9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ht="15.75" customHeight="1">
      <c r="A300" s="9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ht="15.75" customHeight="1">
      <c r="A301" s="9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ht="15.75" customHeight="1">
      <c r="A302" s="9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ht="15.75" customHeight="1">
      <c r="A303" s="9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ht="15.75" customHeight="1">
      <c r="A304" s="9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ht="15.75" customHeight="1">
      <c r="A305" s="9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ht="15.75" customHeight="1">
      <c r="A306" s="9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ht="15.75" customHeight="1">
      <c r="A307" s="9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ht="15.75" customHeight="1">
      <c r="A308" s="9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ht="15.75" customHeight="1">
      <c r="A309" s="9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ht="15.75" customHeight="1">
      <c r="A310" s="9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ht="15.75" customHeight="1">
      <c r="A311" s="9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ht="15.75" customHeight="1">
      <c r="A312" s="9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ht="15.75" customHeight="1">
      <c r="A313" s="9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ht="15.75" customHeight="1">
      <c r="A314" s="9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ht="15.75" customHeight="1">
      <c r="A315" s="9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ht="15.75" customHeight="1">
      <c r="A316" s="9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ht="15.75" customHeight="1">
      <c r="A317" s="9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ht="15.75" customHeight="1">
      <c r="A318" s="9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ht="15.75" customHeight="1">
      <c r="A319" s="9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ht="15.75" customHeight="1">
      <c r="A320" s="9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ht="15.75" customHeight="1">
      <c r="A321" s="9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ht="15.75" customHeight="1">
      <c r="A322" s="9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ht="15.75" customHeight="1">
      <c r="A323" s="9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ht="15.75" customHeight="1">
      <c r="A324" s="9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ht="15.75" customHeight="1">
      <c r="A325" s="9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ht="15.75" customHeight="1">
      <c r="A326" s="9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ht="15.75" customHeight="1">
      <c r="A327" s="9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ht="15.75" customHeight="1">
      <c r="A328" s="9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ht="15.75" customHeight="1">
      <c r="A329" s="9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ht="15.75" customHeight="1">
      <c r="A330" s="9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ht="15.75" customHeight="1">
      <c r="A331" s="9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ht="15.75" customHeight="1">
      <c r="A332" s="9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ht="15.75" customHeight="1">
      <c r="A333" s="9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ht="15.75" customHeight="1">
      <c r="A334" s="9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ht="15.75" customHeight="1">
      <c r="A335" s="9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ht="15.75" customHeight="1">
      <c r="A336" s="9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ht="15.75" customHeight="1">
      <c r="A337" s="9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ht="15.75" customHeight="1">
      <c r="A338" s="9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ht="15.75" customHeight="1">
      <c r="A339" s="9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ht="15.75" customHeight="1">
      <c r="A340" s="9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ht="15.75" customHeight="1">
      <c r="A341" s="9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ht="15.75" customHeight="1">
      <c r="A342" s="9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ht="15.75" customHeight="1">
      <c r="A343" s="9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ht="15.75" customHeight="1">
      <c r="A344" s="9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ht="15.75" customHeight="1">
      <c r="A345" s="9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ht="15.75" customHeight="1">
      <c r="A346" s="9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ht="15.75" customHeight="1">
      <c r="A347" s="9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ht="15.75" customHeight="1">
      <c r="A348" s="9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ht="15.75" customHeight="1">
      <c r="A349" s="9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ht="15.75" customHeight="1">
      <c r="A350" s="9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ht="15.75" customHeight="1">
      <c r="A351" s="9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ht="15.75" customHeight="1">
      <c r="A352" s="9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ht="15.75" customHeight="1">
      <c r="A353" s="9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ht="15.75" customHeight="1">
      <c r="A354" s="9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ht="15.75" customHeight="1">
      <c r="A355" s="9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ht="15.75" customHeight="1">
      <c r="A356" s="9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ht="15.75" customHeight="1">
      <c r="A357" s="9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ht="15.75" customHeight="1">
      <c r="A358" s="9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ht="15.75" customHeight="1">
      <c r="A359" s="9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ht="15.75" customHeight="1">
      <c r="A360" s="9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ht="15.75" customHeight="1">
      <c r="A361" s="9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ht="15.75" customHeight="1">
      <c r="A362" s="9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ht="15.75" customHeight="1">
      <c r="A363" s="9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ht="15.75" customHeight="1">
      <c r="A364" s="9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ht="15.75" customHeight="1">
      <c r="A365" s="9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ht="15.75" customHeight="1">
      <c r="A366" s="9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ht="15.75" customHeight="1">
      <c r="A367" s="9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ht="15.75" customHeight="1">
      <c r="A368" s="9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ht="15.75" customHeight="1">
      <c r="A369" s="9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ht="15.75" customHeight="1">
      <c r="A370" s="9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ht="15.75" customHeight="1">
      <c r="A371" s="9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ht="15.75" customHeight="1">
      <c r="A372" s="9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ht="15.75" customHeight="1">
      <c r="A373" s="9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ht="15.75" customHeight="1">
      <c r="A374" s="9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ht="15.75" customHeight="1">
      <c r="A375" s="9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ht="15.75" customHeight="1">
      <c r="A376" s="9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ht="15.75" customHeight="1">
      <c r="A377" s="9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ht="15.75" customHeight="1">
      <c r="A378" s="9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ht="15.75" customHeight="1">
      <c r="A379" s="9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ht="15.75" customHeight="1">
      <c r="A380" s="9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ht="15.75" customHeight="1">
      <c r="A381" s="9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ht="15.75" customHeight="1">
      <c r="A382" s="9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ht="15.75" customHeight="1">
      <c r="A383" s="9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ht="15.75" customHeight="1">
      <c r="A384" s="9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ht="15.75" customHeight="1">
      <c r="A385" s="9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ht="15.75" customHeight="1">
      <c r="A386" s="9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ht="15.75" customHeight="1">
      <c r="A387" s="9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ht="15.75" customHeight="1">
      <c r="A388" s="9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ht="15.75" customHeight="1">
      <c r="A389" s="9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ht="15.75" customHeight="1">
      <c r="A390" s="9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ht="15.75" customHeight="1">
      <c r="A391" s="9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ht="15.75" customHeight="1">
      <c r="A392" s="9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ht="15.75" customHeight="1">
      <c r="A393" s="9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ht="15.75" customHeight="1">
      <c r="A394" s="9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ht="15.75" customHeight="1">
      <c r="A395" s="9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ht="15.75" customHeight="1">
      <c r="A396" s="9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ht="15.75" customHeight="1">
      <c r="A397" s="9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ht="15.75" customHeight="1">
      <c r="A398" s="9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ht="15.75" customHeight="1">
      <c r="A399" s="9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ht="15.75" customHeight="1">
      <c r="A400" s="9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ht="15.75" customHeight="1">
      <c r="A401" s="9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ht="15.75" customHeight="1">
      <c r="A402" s="9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ht="15.75" customHeight="1">
      <c r="A403" s="9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ht="15.75" customHeight="1">
      <c r="A404" s="9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ht="15.75" customHeight="1">
      <c r="A405" s="9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ht="15.75" customHeight="1">
      <c r="A406" s="9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ht="15.75" customHeight="1">
      <c r="A407" s="9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ht="15.75" customHeight="1">
      <c r="A408" s="9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ht="15.75" customHeight="1">
      <c r="A409" s="9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ht="15.75" customHeight="1">
      <c r="A410" s="9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ht="15.75" customHeight="1">
      <c r="A411" s="9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ht="15.75" customHeight="1">
      <c r="A412" s="9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ht="15.75" customHeight="1">
      <c r="A413" s="9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ht="15.75" customHeight="1">
      <c r="A414" s="9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ht="15.75" customHeight="1">
      <c r="A415" s="9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ht="15.75" customHeight="1">
      <c r="A416" s="9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ht="15.75" customHeight="1">
      <c r="A417" s="9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ht="15.75" customHeight="1">
      <c r="A418" s="9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ht="15.75" customHeight="1">
      <c r="A419" s="9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ht="15.75" customHeight="1">
      <c r="A420" s="9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ht="15.75" customHeight="1">
      <c r="A421" s="9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ht="15.75" customHeight="1">
      <c r="A422" s="9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ht="15.75" customHeight="1">
      <c r="A423" s="9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ht="15.75" customHeight="1">
      <c r="A424" s="9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ht="15.75" customHeight="1">
      <c r="A425" s="9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ht="15.75" customHeight="1">
      <c r="A426" s="9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ht="15.75" customHeight="1">
      <c r="A427" s="9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ht="15.75" customHeight="1">
      <c r="A428" s="9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ht="15.75" customHeight="1">
      <c r="A429" s="9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ht="15.75" customHeight="1">
      <c r="A430" s="9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ht="15.75" customHeight="1">
      <c r="A431" s="9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ht="15.75" customHeight="1">
      <c r="A432" s="9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ht="15.75" customHeight="1">
      <c r="A433" s="9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ht="15.75" customHeight="1">
      <c r="A434" s="9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ht="15.75" customHeight="1">
      <c r="A435" s="9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ht="15.75" customHeight="1">
      <c r="A436" s="9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ht="15.75" customHeight="1">
      <c r="A437" s="9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ht="15.75" customHeight="1">
      <c r="A438" s="9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ht="15.75" customHeight="1">
      <c r="A439" s="9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ht="15.75" customHeight="1">
      <c r="A440" s="9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ht="15.75" customHeight="1">
      <c r="A441" s="9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ht="15.75" customHeight="1">
      <c r="A442" s="9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ht="15.75" customHeight="1">
      <c r="A443" s="9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ht="15.75" customHeight="1">
      <c r="A444" s="9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ht="15.75" customHeight="1">
      <c r="A445" s="9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ht="15.75" customHeight="1">
      <c r="A446" s="9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ht="15.75" customHeight="1">
      <c r="A447" s="9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ht="15.75" customHeight="1">
      <c r="A448" s="9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ht="15.75" customHeight="1">
      <c r="A449" s="9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ht="15.75" customHeight="1">
      <c r="A450" s="9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ht="15.75" customHeight="1">
      <c r="A451" s="9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ht="15.75" customHeight="1">
      <c r="A452" s="9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ht="15.75" customHeight="1">
      <c r="A453" s="9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ht="15.75" customHeight="1">
      <c r="A454" s="9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ht="15.75" customHeight="1">
      <c r="A455" s="9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ht="15.75" customHeight="1">
      <c r="A456" s="9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ht="15.75" customHeight="1">
      <c r="A457" s="9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ht="15.75" customHeight="1">
      <c r="A458" s="9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ht="15.75" customHeight="1">
      <c r="A459" s="9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ht="15.75" customHeight="1">
      <c r="A460" s="9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ht="15.75" customHeight="1">
      <c r="A461" s="9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ht="15.75" customHeight="1">
      <c r="A462" s="9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ht="15.75" customHeight="1">
      <c r="A463" s="9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ht="15.75" customHeight="1">
      <c r="A464" s="9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ht="15.75" customHeight="1">
      <c r="A465" s="9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ht="15.75" customHeight="1">
      <c r="A466" s="9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ht="15.75" customHeight="1">
      <c r="A467" s="9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ht="15.75" customHeight="1">
      <c r="A468" s="9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ht="15.75" customHeight="1">
      <c r="A469" s="9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ht="15.75" customHeight="1">
      <c r="A470" s="9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ht="15.75" customHeight="1">
      <c r="A471" s="9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ht="15.75" customHeight="1">
      <c r="A472" s="9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ht="15.75" customHeight="1">
      <c r="A473" s="9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ht="15.75" customHeight="1">
      <c r="A474" s="9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ht="15.75" customHeight="1">
      <c r="A475" s="9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ht="15.75" customHeight="1">
      <c r="A476" s="9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ht="15.75" customHeight="1">
      <c r="A477" s="9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ht="15.75" customHeight="1">
      <c r="A478" s="9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ht="15.75" customHeight="1">
      <c r="A479" s="9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ht="15.75" customHeight="1">
      <c r="A480" s="9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ht="15.75" customHeight="1">
      <c r="A481" s="9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ht="15.75" customHeight="1">
      <c r="A482" s="9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ht="15.75" customHeight="1">
      <c r="A483" s="9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ht="15.75" customHeight="1">
      <c r="A484" s="9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ht="15.75" customHeight="1">
      <c r="A485" s="9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ht="15.75" customHeight="1">
      <c r="A486" s="9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ht="15.75" customHeight="1">
      <c r="A487" s="9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ht="15.75" customHeight="1">
      <c r="A488" s="9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ht="15.75" customHeight="1">
      <c r="A489" s="9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ht="15.75" customHeight="1">
      <c r="A490" s="9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ht="15.75" customHeight="1">
      <c r="A491" s="9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ht="15.75" customHeight="1">
      <c r="A492" s="9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ht="15.75" customHeight="1">
      <c r="A493" s="9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ht="15.75" customHeight="1">
      <c r="A494" s="9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ht="15.75" customHeight="1">
      <c r="A495" s="9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ht="15.75" customHeight="1">
      <c r="A496" s="9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ht="15.75" customHeight="1">
      <c r="A497" s="9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ht="15.75" customHeight="1">
      <c r="A498" s="9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ht="15.75" customHeight="1">
      <c r="A499" s="9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ht="15.75" customHeight="1">
      <c r="A500" s="9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ht="15.75" customHeight="1">
      <c r="A501" s="9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ht="15.75" customHeight="1">
      <c r="A502" s="9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ht="15.75" customHeight="1">
      <c r="A503" s="9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ht="15.75" customHeight="1">
      <c r="A504" s="9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ht="15.75" customHeight="1">
      <c r="A505" s="9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ht="15.75" customHeight="1">
      <c r="A506" s="9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ht="15.75" customHeight="1">
      <c r="A507" s="9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ht="15.75" customHeight="1">
      <c r="A508" s="9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ht="15.75" customHeight="1">
      <c r="A509" s="9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ht="15.75" customHeight="1">
      <c r="A510" s="9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ht="15.75" customHeight="1">
      <c r="A511" s="9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ht="15.75" customHeight="1">
      <c r="A512" s="9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ht="15.75" customHeight="1">
      <c r="A513" s="9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ht="15.75" customHeight="1">
      <c r="A514" s="9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ht="15.75" customHeight="1">
      <c r="A515" s="9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ht="15.75" customHeight="1">
      <c r="A516" s="9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ht="15.75" customHeight="1">
      <c r="A517" s="9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ht="15.75" customHeight="1">
      <c r="A518" s="9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ht="15.75" customHeight="1">
      <c r="A519" s="9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ht="15.75" customHeight="1">
      <c r="A520" s="9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ht="15.75" customHeight="1">
      <c r="A521" s="9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ht="15.75" customHeight="1">
      <c r="A522" s="9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ht="15.75" customHeight="1">
      <c r="A523" s="9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ht="15.75" customHeight="1">
      <c r="A524" s="9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ht="15.75" customHeight="1">
      <c r="A525" s="9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ht="15.75" customHeight="1">
      <c r="A526" s="9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ht="15.75" customHeight="1">
      <c r="A527" s="9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ht="15.75" customHeight="1">
      <c r="A528" s="9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ht="15.75" customHeight="1">
      <c r="A529" s="9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ht="15.75" customHeight="1">
      <c r="A530" s="9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ht="15.75" customHeight="1">
      <c r="A531" s="9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ht="15.75" customHeight="1">
      <c r="A532" s="9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ht="15.75" customHeight="1">
      <c r="A533" s="9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ht="15.75" customHeight="1">
      <c r="A534" s="9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ht="15.75" customHeight="1">
      <c r="A535" s="9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ht="15.75" customHeight="1">
      <c r="A536" s="9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ht="15.75" customHeight="1">
      <c r="A537" s="9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ht="15.75" customHeight="1">
      <c r="A538" s="9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ht="15.75" customHeight="1">
      <c r="A539" s="9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ht="15.75" customHeight="1">
      <c r="A540" s="9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ht="15.75" customHeight="1">
      <c r="A541" s="9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ht="15.75" customHeight="1">
      <c r="A542" s="9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ht="15.75" customHeight="1">
      <c r="A543" s="9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ht="15.75" customHeight="1">
      <c r="A544" s="9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ht="15.75" customHeight="1">
      <c r="A545" s="9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ht="15.75" customHeight="1">
      <c r="A546" s="9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ht="15.75" customHeight="1">
      <c r="A547" s="9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ht="15.75" customHeight="1">
      <c r="A548" s="9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ht="15.75" customHeight="1">
      <c r="A549" s="9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ht="15.75" customHeight="1">
      <c r="A550" s="9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ht="15.75" customHeight="1">
      <c r="A551" s="9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ht="15.75" customHeight="1">
      <c r="A552" s="9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ht="15.75" customHeight="1">
      <c r="A553" s="9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ht="15.75" customHeight="1">
      <c r="A554" s="9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ht="15.75" customHeight="1">
      <c r="A555" s="9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ht="15.75" customHeight="1">
      <c r="A556" s="9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ht="15.75" customHeight="1">
      <c r="A557" s="9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ht="15.75" customHeight="1">
      <c r="A558" s="9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ht="15.75" customHeight="1">
      <c r="A559" s="9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ht="15.75" customHeight="1">
      <c r="A560" s="9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ht="15.75" customHeight="1">
      <c r="A561" s="9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ht="15.75" customHeight="1">
      <c r="A562" s="9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ht="15.75" customHeight="1">
      <c r="A563" s="9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ht="15.75" customHeight="1">
      <c r="A564" s="9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ht="15.75" customHeight="1">
      <c r="A565" s="9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ht="15.75" customHeight="1">
      <c r="A566" s="9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ht="15.75" customHeight="1">
      <c r="A567" s="9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ht="15.75" customHeight="1">
      <c r="A568" s="9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ht="15.75" customHeight="1">
      <c r="A569" s="9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ht="15.75" customHeight="1">
      <c r="A570" s="9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ht="15.75" customHeight="1">
      <c r="A571" s="9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ht="15.75" customHeight="1">
      <c r="A572" s="9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ht="15.75" customHeight="1">
      <c r="A573" s="9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ht="15.75" customHeight="1">
      <c r="A574" s="9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ht="15.75" customHeight="1">
      <c r="A575" s="9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ht="15.75" customHeight="1">
      <c r="A576" s="9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ht="15.75" customHeight="1">
      <c r="A577" s="9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ht="15.75" customHeight="1">
      <c r="A578" s="9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ht="15.75" customHeight="1">
      <c r="A579" s="9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ht="15.75" customHeight="1">
      <c r="A580" s="9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ht="15.75" customHeight="1">
      <c r="A581" s="9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ht="15.75" customHeight="1">
      <c r="A582" s="9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ht="15.75" customHeight="1">
      <c r="A583" s="9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ht="15.75" customHeight="1">
      <c r="A584" s="9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ht="15.75" customHeight="1">
      <c r="A585" s="9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ht="15.75" customHeight="1">
      <c r="A586" s="9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ht="15.75" customHeight="1">
      <c r="A587" s="9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ht="15.75" customHeight="1">
      <c r="A588" s="9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ht="15.75" customHeight="1">
      <c r="A589" s="9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ht="15.75" customHeight="1">
      <c r="A590" s="9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ht="15.75" customHeight="1">
      <c r="A591" s="9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ht="15.75" customHeight="1">
      <c r="A592" s="9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ht="15.75" customHeight="1">
      <c r="A593" s="9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ht="15.75" customHeight="1">
      <c r="A594" s="9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ht="15.75" customHeight="1">
      <c r="A595" s="9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ht="15.75" customHeight="1">
      <c r="A596" s="9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ht="15.75" customHeight="1">
      <c r="A597" s="9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ht="15.75" customHeight="1">
      <c r="A598" s="9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ht="15.75" customHeight="1">
      <c r="A599" s="9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ht="15.75" customHeight="1">
      <c r="A600" s="9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ht="15.75" customHeight="1">
      <c r="A601" s="9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ht="15.75" customHeight="1">
      <c r="A602" s="9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ht="15.75" customHeight="1">
      <c r="A603" s="9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ht="15.75" customHeight="1">
      <c r="A604" s="9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ht="15.75" customHeight="1">
      <c r="A605" s="9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ht="15.75" customHeight="1">
      <c r="A606" s="9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ht="15.75" customHeight="1">
      <c r="A607" s="9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ht="15.75" customHeight="1">
      <c r="A608" s="9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ht="15.75" customHeight="1">
      <c r="A609" s="9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ht="15.75" customHeight="1">
      <c r="A610" s="9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ht="15.75" customHeight="1">
      <c r="A611" s="9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ht="15.75" customHeight="1">
      <c r="A612" s="9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ht="15.75" customHeight="1">
      <c r="A613" s="9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ht="15.75" customHeight="1">
      <c r="A614" s="9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ht="15.75" customHeight="1">
      <c r="A615" s="9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ht="15.75" customHeight="1">
      <c r="A616" s="9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ht="15.75" customHeight="1">
      <c r="A617" s="9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ht="15.75" customHeight="1">
      <c r="A618" s="9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ht="15.75" customHeight="1">
      <c r="A619" s="9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ht="15.75" customHeight="1">
      <c r="A620" s="9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ht="15.75" customHeight="1">
      <c r="A621" s="9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ht="15.75" customHeight="1">
      <c r="A622" s="9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ht="15.75" customHeight="1">
      <c r="A623" s="9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ht="15.75" customHeight="1">
      <c r="A624" s="9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ht="15.75" customHeight="1">
      <c r="A625" s="9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ht="15.75" customHeight="1">
      <c r="A626" s="9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ht="15.75" customHeight="1">
      <c r="A627" s="9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ht="15.75" customHeight="1">
      <c r="A628" s="9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ht="15.75" customHeight="1">
      <c r="A629" s="9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ht="15.75" customHeight="1">
      <c r="A630" s="9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ht="15.75" customHeight="1">
      <c r="A631" s="9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ht="15.75" customHeight="1">
      <c r="A632" s="9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ht="15.75" customHeight="1">
      <c r="A633" s="9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ht="15.75" customHeight="1">
      <c r="A634" s="9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ht="15.75" customHeight="1">
      <c r="A635" s="9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ht="15.75" customHeight="1">
      <c r="A636" s="9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ht="15.75" customHeight="1">
      <c r="A637" s="9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ht="15.75" customHeight="1">
      <c r="A638" s="9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ht="15.75" customHeight="1">
      <c r="A639" s="9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ht="15.75" customHeight="1">
      <c r="A640" s="9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ht="15.75" customHeight="1">
      <c r="A641" s="9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ht="15.75" customHeight="1">
      <c r="A642" s="9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ht="15.75" customHeight="1">
      <c r="A643" s="9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ht="15.75" customHeight="1">
      <c r="A644" s="9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ht="15.75" customHeight="1">
      <c r="A645" s="9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ht="15.75" customHeight="1">
      <c r="A646" s="9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ht="15.75" customHeight="1">
      <c r="A647" s="9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ht="15.75" customHeight="1">
      <c r="A648" s="9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ht="15.75" customHeight="1">
      <c r="A649" s="9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ht="15.75" customHeight="1">
      <c r="A650" s="9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ht="15.75" customHeight="1">
      <c r="A651" s="9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ht="15.75" customHeight="1">
      <c r="A652" s="9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ht="15.75" customHeight="1">
      <c r="A653" s="9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ht="15.75" customHeight="1">
      <c r="A654" s="9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ht="15.75" customHeight="1">
      <c r="A655" s="9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ht="15.75" customHeight="1">
      <c r="A656" s="9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ht="15.75" customHeight="1">
      <c r="A657" s="9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ht="15.75" customHeight="1">
      <c r="A658" s="9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ht="15.75" customHeight="1">
      <c r="A659" s="9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ht="15.75" customHeight="1">
      <c r="A660" s="9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ht="15.75" customHeight="1">
      <c r="A661" s="9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ht="15.75" customHeight="1">
      <c r="A662" s="9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ht="15.75" customHeight="1">
      <c r="A663" s="9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ht="15.75" customHeight="1">
      <c r="A664" s="9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ht="15.75" customHeight="1">
      <c r="A665" s="9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ht="15.75" customHeight="1">
      <c r="A666" s="9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ht="15.75" customHeight="1">
      <c r="A667" s="9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ht="15.75" customHeight="1">
      <c r="A668" s="9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ht="15.75" customHeight="1">
      <c r="A669" s="9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ht="15.75" customHeight="1">
      <c r="A670" s="9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ht="15.75" customHeight="1">
      <c r="A671" s="9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ht="15.75" customHeight="1">
      <c r="A672" s="9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ht="15.75" customHeight="1">
      <c r="A673" s="9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ht="15.75" customHeight="1">
      <c r="A674" s="9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ht="15.75" customHeight="1">
      <c r="A675" s="9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ht="15.75" customHeight="1">
      <c r="A676" s="9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ht="15.75" customHeight="1">
      <c r="A677" s="9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ht="15.75" customHeight="1">
      <c r="A678" s="9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ht="15.75" customHeight="1">
      <c r="A679" s="9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ht="15.75" customHeight="1">
      <c r="A680" s="9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ht="15.75" customHeight="1">
      <c r="A681" s="9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ht="15.75" customHeight="1">
      <c r="A682" s="9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ht="15.75" customHeight="1">
      <c r="A683" s="9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ht="15.75" customHeight="1">
      <c r="A684" s="9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ht="15.75" customHeight="1">
      <c r="A685" s="9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ht="15.75" customHeight="1">
      <c r="A686" s="9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ht="15.75" customHeight="1">
      <c r="A687" s="9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ht="15.75" customHeight="1">
      <c r="A688" s="9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ht="15.75" customHeight="1">
      <c r="A689" s="9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ht="15.75" customHeight="1">
      <c r="A690" s="9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ht="15.75" customHeight="1">
      <c r="A691" s="9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ht="15.75" customHeight="1">
      <c r="A692" s="9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ht="15.75" customHeight="1">
      <c r="A693" s="9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ht="15.75" customHeight="1">
      <c r="A694" s="9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ht="15.75" customHeight="1">
      <c r="A695" s="9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ht="15.75" customHeight="1">
      <c r="A696" s="9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ht="15.75" customHeight="1">
      <c r="A697" s="9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ht="15.75" customHeight="1">
      <c r="A698" s="9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ht="15.75" customHeight="1">
      <c r="A699" s="9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ht="15.75" customHeight="1">
      <c r="A700" s="9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ht="15.75" customHeight="1">
      <c r="A701" s="9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ht="15.75" customHeight="1">
      <c r="A702" s="9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ht="15.75" customHeight="1">
      <c r="A703" s="9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ht="15.75" customHeight="1">
      <c r="A704" s="9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ht="15.75" customHeight="1">
      <c r="A705" s="9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ht="15.75" customHeight="1">
      <c r="A706" s="9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ht="15.75" customHeight="1">
      <c r="A707" s="9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ht="15.75" customHeight="1">
      <c r="A708" s="9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ht="15.75" customHeight="1">
      <c r="A709" s="9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ht="15.75" customHeight="1">
      <c r="A710" s="9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ht="15.75" customHeight="1">
      <c r="A711" s="9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ht="15.75" customHeight="1">
      <c r="A712" s="9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ht="15.75" customHeight="1">
      <c r="A713" s="9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ht="15.75" customHeight="1">
      <c r="A714" s="9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ht="15.75" customHeight="1">
      <c r="A715" s="9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ht="15.75" customHeight="1">
      <c r="A716" s="9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ht="15.75" customHeight="1">
      <c r="A717" s="9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ht="15.75" customHeight="1">
      <c r="A718" s="9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ht="15.75" customHeight="1">
      <c r="A719" s="9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ht="15.75" customHeight="1">
      <c r="A720" s="9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ht="15.75" customHeight="1">
      <c r="A721" s="9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ht="15.75" customHeight="1">
      <c r="A722" s="9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ht="15.75" customHeight="1">
      <c r="A723" s="9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ht="15.75" customHeight="1">
      <c r="A724" s="9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ht="15.75" customHeight="1">
      <c r="A725" s="9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ht="15.75" customHeight="1">
      <c r="A726" s="9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ht="15.75" customHeight="1">
      <c r="A727" s="9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ht="15.75" customHeight="1">
      <c r="A728" s="9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ht="15.75" customHeight="1">
      <c r="A729" s="9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ht="15.75" customHeight="1">
      <c r="A730" s="9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ht="15.75" customHeight="1">
      <c r="A731" s="9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ht="15.75" customHeight="1">
      <c r="A732" s="9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ht="15.75" customHeight="1">
      <c r="A733" s="9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ht="15.75" customHeight="1">
      <c r="A734" s="9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ht="15.75" customHeight="1">
      <c r="A735" s="9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ht="15.75" customHeight="1">
      <c r="A736" s="9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ht="15.75" customHeight="1">
      <c r="A737" s="9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ht="15.75" customHeight="1">
      <c r="A738" s="9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ht="15.75" customHeight="1">
      <c r="A739" s="9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ht="15.75" customHeight="1">
      <c r="A740" s="9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ht="15.75" customHeight="1">
      <c r="A741" s="9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ht="15.75" customHeight="1">
      <c r="A742" s="9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ht="15.75" customHeight="1">
      <c r="A743" s="9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ht="15.75" customHeight="1">
      <c r="A744" s="9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ht="15.75" customHeight="1">
      <c r="A745" s="9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ht="15.75" customHeight="1">
      <c r="A746" s="9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ht="15.75" customHeight="1">
      <c r="A747" s="9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ht="15.75" customHeight="1">
      <c r="A748" s="9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ht="15.75" customHeight="1">
      <c r="A749" s="9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ht="15.75" customHeight="1">
      <c r="A750" s="9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ht="15.75" customHeight="1">
      <c r="A751" s="9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ht="15.75" customHeight="1">
      <c r="A752" s="9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ht="15.75" customHeight="1">
      <c r="A753" s="9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ht="15.75" customHeight="1">
      <c r="A754" s="9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ht="15.75" customHeight="1">
      <c r="A755" s="9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ht="15.75" customHeight="1">
      <c r="A756" s="9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ht="15.75" customHeight="1">
      <c r="A757" s="9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ht="15.75" customHeight="1">
      <c r="A758" s="9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ht="15.75" customHeight="1">
      <c r="A759" s="9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ht="15.75" customHeight="1">
      <c r="A760" s="9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ht="15.75" customHeight="1">
      <c r="A761" s="9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ht="15.75" customHeight="1">
      <c r="A762" s="9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ht="15.75" customHeight="1">
      <c r="A763" s="9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ht="15.75" customHeight="1">
      <c r="A764" s="9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ht="15.75" customHeight="1">
      <c r="A765" s="9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ht="15.75" customHeight="1">
      <c r="A766" s="9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ht="15.75" customHeight="1">
      <c r="A767" s="9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ht="15.75" customHeight="1">
      <c r="A768" s="9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ht="15.75" customHeight="1">
      <c r="A769" s="9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ht="15.75" customHeight="1">
      <c r="A770" s="9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ht="15.75" customHeight="1">
      <c r="A771" s="9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ht="15.75" customHeight="1">
      <c r="A772" s="9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ht="15.75" customHeight="1">
      <c r="A773" s="9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ht="15.75" customHeight="1">
      <c r="A774" s="9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ht="15.75" customHeight="1">
      <c r="A775" s="9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ht="15.75" customHeight="1">
      <c r="A776" s="9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ht="15.75" customHeight="1">
      <c r="A777" s="9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ht="15.75" customHeight="1">
      <c r="A778" s="9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ht="15.75" customHeight="1">
      <c r="A779" s="9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ht="15.75" customHeight="1">
      <c r="A780" s="9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ht="15.75" customHeight="1">
      <c r="A781" s="9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ht="15.75" customHeight="1">
      <c r="A782" s="9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ht="15.75" customHeight="1">
      <c r="A783" s="9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ht="15.75" customHeight="1">
      <c r="A784" s="9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ht="15.75" customHeight="1">
      <c r="A785" s="9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ht="15.75" customHeight="1">
      <c r="A786" s="9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ht="15.75" customHeight="1">
      <c r="A787" s="9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ht="15.75" customHeight="1">
      <c r="A788" s="9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ht="15.75" customHeight="1">
      <c r="A789" s="9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ht="15.75" customHeight="1">
      <c r="A790" s="9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ht="15.75" customHeight="1">
      <c r="A791" s="9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ht="15.75" customHeight="1">
      <c r="A792" s="9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ht="15.75" customHeight="1">
      <c r="A793" s="9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ht="15.75" customHeight="1">
      <c r="A794" s="9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ht="15.75" customHeight="1">
      <c r="A795" s="9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ht="15.75" customHeight="1">
      <c r="A796" s="9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ht="15.75" customHeight="1">
      <c r="A797" s="9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ht="15.75" customHeight="1">
      <c r="A798" s="9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ht="15.75" customHeight="1">
      <c r="A799" s="9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ht="15.75" customHeight="1">
      <c r="A800" s="9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ht="15.75" customHeight="1">
      <c r="A801" s="9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ht="15.75" customHeight="1">
      <c r="A802" s="9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ht="15.75" customHeight="1">
      <c r="A803" s="9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ht="15.75" customHeight="1">
      <c r="A804" s="9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ht="15.75" customHeight="1">
      <c r="A805" s="9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ht="15.75" customHeight="1">
      <c r="A806" s="9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ht="15.75" customHeight="1">
      <c r="A807" s="9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ht="15.75" customHeight="1">
      <c r="A808" s="9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ht="15.75" customHeight="1">
      <c r="A809" s="9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ht="15.75" customHeight="1">
      <c r="A810" s="9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ht="15.75" customHeight="1">
      <c r="A811" s="9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ht="15.75" customHeight="1">
      <c r="A812" s="9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ht="15.75" customHeight="1">
      <c r="A813" s="9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ht="15.75" customHeight="1">
      <c r="A814" s="9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ht="15.75" customHeight="1">
      <c r="A815" s="9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ht="15.75" customHeight="1">
      <c r="A816" s="9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ht="15.75" customHeight="1">
      <c r="A817" s="9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ht="15.75" customHeight="1">
      <c r="A818" s="9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ht="15.75" customHeight="1">
      <c r="A819" s="9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ht="15.75" customHeight="1">
      <c r="A820" s="9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ht="15.75" customHeight="1">
      <c r="A821" s="9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ht="15.75" customHeight="1">
      <c r="A822" s="9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ht="15.75" customHeight="1">
      <c r="A823" s="9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ht="15.75" customHeight="1">
      <c r="A824" s="9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ht="15.75" customHeight="1">
      <c r="A825" s="9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ht="15.75" customHeight="1">
      <c r="A826" s="9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ht="15.75" customHeight="1">
      <c r="A827" s="9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ht="15.75" customHeight="1">
      <c r="A828" s="9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ht="15.75" customHeight="1">
      <c r="A829" s="9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ht="15.75" customHeight="1">
      <c r="A830" s="9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ht="15.75" customHeight="1">
      <c r="A831" s="9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ht="15.75" customHeight="1">
      <c r="A832" s="9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ht="15.75" customHeight="1">
      <c r="A833" s="9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ht="15.75" customHeight="1">
      <c r="A834" s="9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ht="15.75" customHeight="1">
      <c r="A835" s="9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ht="15.75" customHeight="1">
      <c r="A836" s="9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ht="15.75" customHeight="1">
      <c r="A837" s="9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ht="15.75" customHeight="1">
      <c r="A838" s="9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ht="15.75" customHeight="1">
      <c r="A839" s="9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ht="15.75" customHeight="1">
      <c r="A840" s="9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ht="15.75" customHeight="1">
      <c r="A841" s="9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ht="15.75" customHeight="1">
      <c r="A842" s="9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ht="15.75" customHeight="1">
      <c r="A843" s="9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ht="15.75" customHeight="1">
      <c r="A844" s="9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ht="15.75" customHeight="1">
      <c r="A845" s="9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ht="15.75" customHeight="1">
      <c r="A846" s="9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ht="15.75" customHeight="1">
      <c r="A847" s="9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ht="15.75" customHeight="1">
      <c r="A848" s="9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ht="15.75" customHeight="1">
      <c r="A849" s="9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ht="15.75" customHeight="1">
      <c r="A850" s="9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ht="15.75" customHeight="1">
      <c r="A851" s="9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ht="15.75" customHeight="1">
      <c r="A852" s="9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ht="15.75" customHeight="1">
      <c r="A853" s="9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ht="15.75" customHeight="1">
      <c r="A854" s="9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ht="15.75" customHeight="1">
      <c r="A855" s="9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ht="15.75" customHeight="1">
      <c r="A856" s="9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ht="15.75" customHeight="1">
      <c r="A857" s="9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ht="15.75" customHeight="1">
      <c r="A858" s="9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ht="15.75" customHeight="1">
      <c r="A859" s="9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ht="15.75" customHeight="1">
      <c r="A860" s="9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ht="15.75" customHeight="1">
      <c r="A861" s="9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ht="15.75" customHeight="1">
      <c r="A862" s="9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ht="15.75" customHeight="1">
      <c r="A863" s="9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ht="15.75" customHeight="1">
      <c r="A864" s="9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ht="15.75" customHeight="1">
      <c r="A865" s="9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ht="15.75" customHeight="1">
      <c r="A866" s="9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ht="15.75" customHeight="1">
      <c r="A867" s="9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ht="15.75" customHeight="1">
      <c r="A868" s="9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ht="15.75" customHeight="1">
      <c r="A869" s="9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ht="15.75" customHeight="1">
      <c r="A870" s="9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ht="15.75" customHeight="1">
      <c r="A871" s="9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ht="15.75" customHeight="1">
      <c r="A872" s="9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ht="15.75" customHeight="1">
      <c r="A873" s="9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ht="15.75" customHeight="1">
      <c r="A874" s="9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ht="15.75" customHeight="1">
      <c r="A875" s="9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ht="15.75" customHeight="1">
      <c r="A876" s="9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ht="15.75" customHeight="1">
      <c r="A877" s="9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ht="15.75" customHeight="1">
      <c r="A878" s="9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ht="15.75" customHeight="1">
      <c r="A879" s="9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ht="15.75" customHeight="1">
      <c r="A880" s="9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ht="15.75" customHeight="1">
      <c r="A881" s="9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ht="15.75" customHeight="1">
      <c r="A882" s="9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ht="15.75" customHeight="1">
      <c r="A883" s="9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ht="15.75" customHeight="1">
      <c r="A884" s="9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ht="15.75" customHeight="1">
      <c r="A885" s="9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ht="15.75" customHeight="1">
      <c r="A886" s="9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ht="15.75" customHeight="1">
      <c r="A887" s="9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ht="15.75" customHeight="1">
      <c r="A888" s="9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ht="15.75" customHeight="1">
      <c r="A889" s="9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ht="15.75" customHeight="1">
      <c r="A890" s="9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ht="15.75" customHeight="1">
      <c r="A891" s="9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ht="15.75" customHeight="1">
      <c r="A892" s="9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ht="15.75" customHeight="1">
      <c r="A893" s="9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ht="15.75" customHeight="1">
      <c r="A894" s="9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ht="15.75" customHeight="1">
      <c r="A895" s="9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ht="15.75" customHeight="1">
      <c r="A896" s="9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ht="15.75" customHeight="1">
      <c r="A897" s="9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ht="15.75" customHeight="1">
      <c r="A898" s="9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ht="15.75" customHeight="1">
      <c r="A899" s="9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ht="15.75" customHeight="1">
      <c r="A900" s="9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ht="15.75" customHeight="1">
      <c r="A901" s="9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ht="15.75" customHeight="1">
      <c r="A902" s="9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ht="15.75" customHeight="1">
      <c r="A903" s="9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ht="15.75" customHeight="1">
      <c r="A904" s="9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ht="15.75" customHeight="1">
      <c r="A905" s="9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ht="15.75" customHeight="1">
      <c r="A906" s="9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ht="15.75" customHeight="1">
      <c r="A907" s="9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ht="15.75" customHeight="1">
      <c r="A908" s="9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ht="15.75" customHeight="1">
      <c r="A909" s="9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ht="15.75" customHeight="1">
      <c r="A910" s="9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ht="15.75" customHeight="1">
      <c r="A911" s="9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ht="15.75" customHeight="1">
      <c r="A912" s="9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ht="15.75" customHeight="1">
      <c r="A913" s="9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ht="15.75" customHeight="1">
      <c r="A914" s="9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ht="15.75" customHeight="1">
      <c r="A915" s="9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ht="15.75" customHeight="1">
      <c r="A916" s="9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ht="15.75" customHeight="1">
      <c r="A917" s="9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ht="15.75" customHeight="1">
      <c r="A918" s="9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ht="15.75" customHeight="1">
      <c r="A919" s="9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ht="15.75" customHeight="1">
      <c r="A920" s="9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ht="15.75" customHeight="1">
      <c r="A921" s="9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ht="15.75" customHeight="1">
      <c r="A922" s="9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ht="15.75" customHeight="1">
      <c r="A923" s="9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ht="15.75" customHeight="1">
      <c r="A924" s="9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ht="15.75" customHeight="1">
      <c r="A925" s="9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ht="15.75" customHeight="1">
      <c r="A926" s="9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ht="15.75" customHeight="1">
      <c r="A927" s="9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ht="15.75" customHeight="1">
      <c r="A928" s="9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ht="15.75" customHeight="1">
      <c r="A929" s="9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ht="15.75" customHeight="1">
      <c r="A930" s="9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ht="15.75" customHeight="1">
      <c r="A931" s="9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ht="15.75" customHeight="1">
      <c r="A932" s="9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ht="15.75" customHeight="1">
      <c r="A933" s="9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ht="15.75" customHeight="1">
      <c r="A934" s="9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ht="15.75" customHeight="1">
      <c r="A935" s="9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ht="15.75" customHeight="1">
      <c r="A936" s="9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ht="15.75" customHeight="1">
      <c r="A937" s="9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ht="15.75" customHeight="1">
      <c r="A938" s="9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ht="15.75" customHeight="1">
      <c r="A939" s="9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ht="15.75" customHeight="1">
      <c r="A940" s="9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ht="15.75" customHeight="1">
      <c r="A941" s="9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ht="15.75" customHeight="1">
      <c r="A942" s="9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ht="15.75" customHeight="1">
      <c r="A943" s="9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ht="15.75" customHeight="1">
      <c r="A944" s="9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ht="15.75" customHeight="1">
      <c r="A945" s="9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ht="15.75" customHeight="1">
      <c r="A946" s="9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ht="15.75" customHeight="1">
      <c r="A947" s="9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ht="15.75" customHeight="1">
      <c r="A948" s="9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ht="15.75" customHeight="1">
      <c r="A949" s="9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ht="15.75" customHeight="1">
      <c r="A950" s="9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ht="15.75" customHeight="1">
      <c r="A951" s="9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ht="15.75" customHeight="1">
      <c r="A952" s="9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ht="15.75" customHeight="1">
      <c r="A953" s="9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ht="15.75" customHeight="1">
      <c r="A954" s="9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ht="15.75" customHeight="1">
      <c r="A955" s="9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ht="15.75" customHeight="1">
      <c r="A956" s="9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ht="15.75" customHeight="1">
      <c r="A957" s="9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ht="15.75" customHeight="1">
      <c r="A958" s="9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ht="15.75" customHeight="1">
      <c r="A959" s="9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ht="15.75" customHeight="1">
      <c r="A960" s="9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ht="15.75" customHeight="1">
      <c r="A961" s="9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ht="15.75" customHeight="1">
      <c r="A962" s="9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ht="15.75" customHeight="1">
      <c r="A963" s="9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ht="15.75" customHeight="1">
      <c r="A964" s="9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ht="15.75" customHeight="1">
      <c r="A965" s="9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ht="15.75" customHeight="1">
      <c r="A966" s="9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ht="15.75" customHeight="1">
      <c r="A967" s="9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ht="15.75" customHeight="1">
      <c r="A968" s="9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ht="15.75" customHeight="1">
      <c r="A969" s="9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ht="15.75" customHeight="1">
      <c r="A970" s="9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ht="15.75" customHeight="1">
      <c r="A971" s="9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ht="15.75" customHeight="1">
      <c r="A972" s="9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ht="15.75" customHeight="1">
      <c r="A973" s="9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ht="15.75" customHeight="1">
      <c r="A974" s="9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ht="15.75" customHeight="1">
      <c r="A975" s="9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ht="15.75" customHeight="1">
      <c r="A976" s="9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ht="15.75" customHeight="1">
      <c r="A977" s="9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ht="15.75" customHeight="1">
      <c r="A978" s="9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ht="15.75" customHeight="1">
      <c r="A979" s="9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ht="15.75" customHeight="1">
      <c r="A980" s="9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ht="15.75" customHeight="1">
      <c r="A981" s="9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ht="15.75" customHeight="1">
      <c r="A982" s="9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ht="15.75" customHeight="1">
      <c r="A983" s="9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ht="15.75" customHeight="1">
      <c r="A984" s="9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ht="15.75" customHeight="1">
      <c r="A985" s="9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ht="15.75" customHeight="1">
      <c r="A986" s="9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ht="15.75" customHeight="1">
      <c r="A987" s="9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ht="15.75" customHeight="1">
      <c r="A988" s="9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ht="15.75" customHeight="1">
      <c r="A989" s="9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ht="15.75" customHeight="1">
      <c r="A990" s="9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ht="15.75" customHeight="1">
      <c r="A991" s="9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ht="15.75" customHeight="1">
      <c r="A992" s="9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ht="15.75" customHeight="1">
      <c r="A993" s="9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ht="15.75" customHeight="1">
      <c r="A994" s="9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ht="15.75" customHeight="1">
      <c r="A995" s="9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ht="15.75" customHeight="1">
      <c r="A996" s="9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ht="15.75" customHeight="1">
      <c r="A997" s="9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ht="15.75" customHeight="1">
      <c r="A998" s="9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ht="15.75" customHeight="1">
      <c r="A999" s="9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ht="15.75" customHeight="1">
      <c r="A1000" s="9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  <row r="1001" ht="15.75" customHeight="1">
      <c r="A1001" s="9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</row>
  </sheetData>
  <mergeCells count="44">
    <mergeCell ref="R7:T9"/>
    <mergeCell ref="U7:X7"/>
    <mergeCell ref="U8:X8"/>
    <mergeCell ref="U9:X9"/>
    <mergeCell ref="U12:X12"/>
    <mergeCell ref="Y12:AA12"/>
    <mergeCell ref="A1:AA6"/>
    <mergeCell ref="A7:B12"/>
    <mergeCell ref="C7:C12"/>
    <mergeCell ref="F7:G12"/>
    <mergeCell ref="J7:M8"/>
    <mergeCell ref="N7:O8"/>
    <mergeCell ref="R10:T12"/>
    <mergeCell ref="B24:B29"/>
    <mergeCell ref="B30:B35"/>
    <mergeCell ref="B36:B41"/>
    <mergeCell ref="B42:B47"/>
    <mergeCell ref="J12:M12"/>
    <mergeCell ref="N12:O12"/>
    <mergeCell ref="A16:B16"/>
    <mergeCell ref="A17:AA17"/>
    <mergeCell ref="A18:A29"/>
    <mergeCell ref="B18:B23"/>
    <mergeCell ref="A30:A47"/>
    <mergeCell ref="Y7:AA7"/>
    <mergeCell ref="Y8:AA8"/>
    <mergeCell ref="J9:M9"/>
    <mergeCell ref="N9:O9"/>
    <mergeCell ref="H7:I9"/>
    <mergeCell ref="H10:I12"/>
    <mergeCell ref="J10:M10"/>
    <mergeCell ref="N10:O10"/>
    <mergeCell ref="Y9:AA9"/>
    <mergeCell ref="U10:X10"/>
    <mergeCell ref="Y10:AA10"/>
    <mergeCell ref="J11:M11"/>
    <mergeCell ref="N11:O11"/>
    <mergeCell ref="U11:X11"/>
    <mergeCell ref="Y11:AA11"/>
    <mergeCell ref="R14:U14"/>
    <mergeCell ref="V14:X14"/>
    <mergeCell ref="Y14:Z14"/>
    <mergeCell ref="AE16:AI16"/>
    <mergeCell ref="AK16:AO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0.75"/>
    <col customWidth="1" min="3" max="3" width="14.88"/>
    <col customWidth="1" min="4" max="18" width="7.5"/>
    <col customWidth="1" min="19" max="19" width="8.5"/>
    <col customWidth="1" min="20" max="22" width="7.5"/>
    <col customWidth="1" min="23" max="23" width="8.25"/>
    <col customWidth="1" min="24" max="26" width="7.5"/>
    <col customWidth="1" min="27" max="27" width="8.5"/>
    <col customWidth="1" min="28" max="28" width="11.0"/>
    <col customWidth="1" min="29" max="29" width="7.88"/>
    <col customWidth="1" min="30" max="30" width="0.88"/>
    <col customWidth="1" min="31" max="31" width="15.5"/>
    <col customWidth="1" min="32" max="41" width="7.88"/>
  </cols>
  <sheetData>
    <row r="1" ht="15.0" customHeight="1">
      <c r="A1" s="95" t="s">
        <v>51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.0" customHeight="1"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15.0" customHeight="1"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15.0" customHeight="1"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ht="15.0" customHeight="1"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ht="15.0" customHeight="1"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ht="18.75" customHeight="1">
      <c r="A7" s="96" t="s">
        <v>1</v>
      </c>
      <c r="B7" s="4"/>
      <c r="C7" s="113">
        <v>120.0</v>
      </c>
      <c r="D7" s="163"/>
      <c r="E7" s="134"/>
      <c r="F7" s="7" t="s">
        <v>2</v>
      </c>
      <c r="G7" s="4"/>
      <c r="H7" s="9" t="str">
        <f>A18</f>
        <v>JUNIOR &amp; FAMILY</v>
      </c>
      <c r="I7" s="10"/>
      <c r="J7" s="205" t="str">
        <f>B18</f>
        <v>PRIMARY ENGLISH (7~11yrs.)                                  JUNIOR ESL (12~17yrs.)</v>
      </c>
      <c r="K7" s="12"/>
      <c r="L7" s="12"/>
      <c r="M7" s="4"/>
      <c r="N7" s="206">
        <v>1300.0</v>
      </c>
      <c r="O7" s="4"/>
      <c r="P7" s="6"/>
      <c r="Q7" s="6"/>
      <c r="R7" s="14" t="s">
        <v>71</v>
      </c>
      <c r="S7" s="12"/>
      <c r="T7" s="4"/>
      <c r="U7" s="207" t="s">
        <v>4</v>
      </c>
      <c r="V7" s="16"/>
      <c r="W7" s="16"/>
      <c r="X7" s="17"/>
      <c r="Y7" s="208">
        <v>1400.0</v>
      </c>
      <c r="Z7" s="16"/>
      <c r="AA7" s="19"/>
      <c r="AB7" s="20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ht="15.75" customHeight="1">
      <c r="A8" s="21"/>
      <c r="B8" s="22"/>
      <c r="C8" s="23"/>
      <c r="D8" s="24"/>
      <c r="E8" s="24"/>
      <c r="F8" s="25"/>
      <c r="G8" s="22"/>
      <c r="H8" s="25"/>
      <c r="I8" s="22"/>
      <c r="J8" s="25"/>
      <c r="M8" s="22"/>
      <c r="N8" s="25"/>
      <c r="O8" s="22"/>
      <c r="P8" s="24"/>
      <c r="Q8" s="24"/>
      <c r="R8" s="25"/>
      <c r="T8" s="22"/>
      <c r="U8" s="209" t="s">
        <v>5</v>
      </c>
      <c r="V8" s="31"/>
      <c r="W8" s="31"/>
      <c r="X8" s="32"/>
      <c r="Y8" s="210">
        <v>970.0</v>
      </c>
      <c r="Z8" s="31"/>
      <c r="AA8" s="34"/>
      <c r="AB8" s="20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ht="15.75" customHeight="1">
      <c r="A9" s="21"/>
      <c r="B9" s="22"/>
      <c r="C9" s="23"/>
      <c r="D9" s="24"/>
      <c r="E9" s="24"/>
      <c r="F9" s="25"/>
      <c r="G9" s="22"/>
      <c r="H9" s="25"/>
      <c r="I9" s="22"/>
      <c r="J9" s="37"/>
      <c r="K9" s="38"/>
      <c r="L9" s="38"/>
      <c r="M9" s="39"/>
      <c r="N9" s="37"/>
      <c r="O9" s="39"/>
      <c r="P9" s="24"/>
      <c r="Q9" s="24"/>
      <c r="R9" s="37"/>
      <c r="S9" s="38"/>
      <c r="T9" s="39"/>
      <c r="U9" s="209" t="s">
        <v>6</v>
      </c>
      <c r="V9" s="31"/>
      <c r="W9" s="31"/>
      <c r="X9" s="32"/>
      <c r="Y9" s="210">
        <v>810.0</v>
      </c>
      <c r="Z9" s="31"/>
      <c r="AA9" s="34"/>
      <c r="AB9" s="20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ht="15.75" customHeight="1">
      <c r="A10" s="21"/>
      <c r="B10" s="22"/>
      <c r="C10" s="23"/>
      <c r="D10" s="24"/>
      <c r="E10" s="24"/>
      <c r="F10" s="25"/>
      <c r="G10" s="22"/>
      <c r="H10" s="25"/>
      <c r="I10" s="22"/>
      <c r="J10" s="211" t="str">
        <f>B22</f>
        <v>JUNIOR IELTS (12~17yrs.)</v>
      </c>
      <c r="K10" s="42"/>
      <c r="L10" s="42"/>
      <c r="M10" s="10"/>
      <c r="N10" s="212">
        <v>1450.0</v>
      </c>
      <c r="O10" s="10"/>
      <c r="P10" s="24"/>
      <c r="Q10" s="24"/>
      <c r="R10" s="41" t="s">
        <v>7</v>
      </c>
      <c r="S10" s="42"/>
      <c r="T10" s="10"/>
      <c r="U10" s="213" t="s">
        <v>8</v>
      </c>
      <c r="V10" s="31"/>
      <c r="W10" s="31"/>
      <c r="X10" s="32"/>
      <c r="Y10" s="214">
        <v>1690.0</v>
      </c>
      <c r="Z10" s="31"/>
      <c r="AA10" s="34"/>
      <c r="AB10" s="20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ht="15.75" customHeight="1">
      <c r="A11" s="21"/>
      <c r="B11" s="22"/>
      <c r="C11" s="23"/>
      <c r="D11" s="45"/>
      <c r="E11" s="46"/>
      <c r="F11" s="25"/>
      <c r="G11" s="22"/>
      <c r="H11" s="25"/>
      <c r="I11" s="22"/>
      <c r="J11" s="25"/>
      <c r="M11" s="22"/>
      <c r="N11" s="25"/>
      <c r="O11" s="22"/>
      <c r="P11" s="24"/>
      <c r="Q11" s="24"/>
      <c r="R11" s="25"/>
      <c r="T11" s="22"/>
      <c r="U11" s="213" t="s">
        <v>10</v>
      </c>
      <c r="V11" s="31"/>
      <c r="W11" s="31"/>
      <c r="X11" s="32"/>
      <c r="Y11" s="214">
        <v>1100.0</v>
      </c>
      <c r="Z11" s="31"/>
      <c r="AA11" s="34"/>
      <c r="AB11" s="20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ht="20.25" customHeight="1">
      <c r="A12" s="49"/>
      <c r="B12" s="39"/>
      <c r="C12" s="50"/>
      <c r="D12" s="45"/>
      <c r="E12" s="46"/>
      <c r="F12" s="37"/>
      <c r="G12" s="39"/>
      <c r="H12" s="37"/>
      <c r="I12" s="39"/>
      <c r="J12" s="37"/>
      <c r="K12" s="38"/>
      <c r="L12" s="38"/>
      <c r="M12" s="39"/>
      <c r="N12" s="37"/>
      <c r="O12" s="39"/>
      <c r="P12" s="24"/>
      <c r="Q12" s="24"/>
      <c r="R12" s="37"/>
      <c r="S12" s="38"/>
      <c r="T12" s="39"/>
      <c r="U12" s="213" t="s">
        <v>11</v>
      </c>
      <c r="V12" s="31"/>
      <c r="W12" s="31"/>
      <c r="X12" s="32"/>
      <c r="Y12" s="214">
        <v>890.0</v>
      </c>
      <c r="Z12" s="31"/>
      <c r="AA12" s="34"/>
      <c r="AB12" s="20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ht="15.0" customHeight="1">
      <c r="A13" s="133"/>
      <c r="B13" s="134"/>
      <c r="C13" s="6"/>
      <c r="D13" s="24"/>
      <c r="E13" s="24"/>
      <c r="F13" s="6"/>
      <c r="G13" s="6"/>
      <c r="H13" s="6"/>
      <c r="I13" s="6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53"/>
      <c r="Z13" s="53"/>
      <c r="AA13" s="53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ht="15.0" customHeight="1">
      <c r="A14" s="51"/>
      <c r="B14" s="24"/>
      <c r="C14" s="24"/>
      <c r="D14" s="24"/>
      <c r="E14" s="24"/>
      <c r="F14" s="24"/>
      <c r="G14" s="24"/>
      <c r="H14" s="6"/>
      <c r="I14" s="6"/>
      <c r="J14" s="24"/>
      <c r="K14" s="24"/>
      <c r="L14" s="24"/>
      <c r="M14" s="24"/>
      <c r="N14" s="24"/>
      <c r="O14" s="24"/>
      <c r="P14" s="24"/>
      <c r="Q14" s="24"/>
      <c r="R14" s="58" t="s">
        <v>12</v>
      </c>
      <c r="S14" s="31"/>
      <c r="T14" s="31"/>
      <c r="U14" s="32"/>
      <c r="V14" s="215" t="s">
        <v>13</v>
      </c>
      <c r="W14" s="31"/>
      <c r="X14" s="32"/>
      <c r="Y14" s="216" t="s">
        <v>14</v>
      </c>
      <c r="Z14" s="32"/>
      <c r="AA14" s="53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ht="17.25" customHeight="1">
      <c r="A15" s="51"/>
      <c r="B15" s="24"/>
      <c r="C15" s="24"/>
      <c r="D15" s="61">
        <v>0.45</v>
      </c>
      <c r="E15" s="61">
        <v>0.65</v>
      </c>
      <c r="F15" s="61">
        <v>0.85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53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ht="21.0" customHeight="1">
      <c r="A16" s="64" t="s">
        <v>15</v>
      </c>
      <c r="B16" s="32"/>
      <c r="C16" s="65" t="s">
        <v>16</v>
      </c>
      <c r="D16" s="65" t="s">
        <v>17</v>
      </c>
      <c r="E16" s="65" t="s">
        <v>18</v>
      </c>
      <c r="F16" s="65" t="s">
        <v>19</v>
      </c>
      <c r="G16" s="65" t="s">
        <v>20</v>
      </c>
      <c r="H16" s="65" t="s">
        <v>21</v>
      </c>
      <c r="I16" s="65" t="s">
        <v>22</v>
      </c>
      <c r="J16" s="65" t="s">
        <v>23</v>
      </c>
      <c r="K16" s="65" t="s">
        <v>24</v>
      </c>
      <c r="L16" s="65" t="s">
        <v>25</v>
      </c>
      <c r="M16" s="65" t="s">
        <v>26</v>
      </c>
      <c r="N16" s="65" t="s">
        <v>27</v>
      </c>
      <c r="O16" s="65" t="s">
        <v>28</v>
      </c>
      <c r="P16" s="65" t="s">
        <v>29</v>
      </c>
      <c r="Q16" s="65" t="s">
        <v>30</v>
      </c>
      <c r="R16" s="65" t="s">
        <v>31</v>
      </c>
      <c r="S16" s="65" t="s">
        <v>32</v>
      </c>
      <c r="T16" s="65" t="s">
        <v>33</v>
      </c>
      <c r="U16" s="65" t="s">
        <v>34</v>
      </c>
      <c r="V16" s="65" t="s">
        <v>35</v>
      </c>
      <c r="W16" s="65" t="s">
        <v>36</v>
      </c>
      <c r="X16" s="65" t="s">
        <v>37</v>
      </c>
      <c r="Y16" s="65" t="s">
        <v>38</v>
      </c>
      <c r="Z16" s="65" t="s">
        <v>39</v>
      </c>
      <c r="AA16" s="66" t="s">
        <v>40</v>
      </c>
      <c r="AB16" s="67"/>
      <c r="AC16" s="67"/>
      <c r="AD16" s="67"/>
      <c r="AE16" s="68" t="s">
        <v>41</v>
      </c>
      <c r="AF16" s="69"/>
      <c r="AG16" s="69"/>
      <c r="AH16" s="69"/>
      <c r="AI16" s="69"/>
      <c r="AJ16" s="70"/>
      <c r="AK16" s="68" t="s">
        <v>42</v>
      </c>
      <c r="AL16" s="69"/>
      <c r="AM16" s="69"/>
      <c r="AN16" s="69"/>
      <c r="AO16" s="69"/>
    </row>
    <row r="17" ht="4.5" customHeight="1">
      <c r="A17" s="7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ht="21.75" customHeight="1">
      <c r="A18" s="217" t="s">
        <v>72</v>
      </c>
      <c r="B18" s="218" t="s">
        <v>73</v>
      </c>
      <c r="C18" s="219" t="s">
        <v>45</v>
      </c>
      <c r="D18" s="220">
        <f>G18*D15</f>
        <v>1021.5</v>
      </c>
      <c r="E18" s="220">
        <f>G18*E15</f>
        <v>1475.5</v>
      </c>
      <c r="F18" s="220">
        <f>G18*F15</f>
        <v>1929.5</v>
      </c>
      <c r="G18" s="221">
        <f>N7+Y8</f>
        <v>2270</v>
      </c>
      <c r="H18" s="220">
        <f t="shared" ref="H18:H25" si="1">G18+(G18*0.25)</f>
        <v>2837.5</v>
      </c>
      <c r="I18" s="220">
        <f t="shared" ref="I18:I25" si="2">G18+(G18*0.5)</f>
        <v>3405</v>
      </c>
      <c r="J18" s="220">
        <f t="shared" ref="J18:J25" si="3">G18+(G18*0.75)</f>
        <v>3972.5</v>
      </c>
      <c r="K18" s="221">
        <f t="shared" ref="K18:K25" si="4">G18*2</f>
        <v>4540</v>
      </c>
      <c r="L18" s="220">
        <f t="shared" ref="L18:L25" si="5">K18+(G18*0.25)</f>
        <v>5107.5</v>
      </c>
      <c r="M18" s="220">
        <f t="shared" ref="M18:M25" si="6">K18+(G18*0.5)</f>
        <v>5675</v>
      </c>
      <c r="N18" s="220">
        <f t="shared" ref="N18:N25" si="7">K18+(G18*0.75)</f>
        <v>6242.5</v>
      </c>
      <c r="O18" s="221">
        <f t="shared" ref="O18:O25" si="8">G18*3</f>
        <v>6810</v>
      </c>
      <c r="P18" s="220">
        <f t="shared" ref="P18:P25" si="9">O18+(G18*0.25)</f>
        <v>7377.5</v>
      </c>
      <c r="Q18" s="220">
        <f t="shared" ref="Q18:Q25" si="10">O18+(G18*0.5)</f>
        <v>7945</v>
      </c>
      <c r="R18" s="220">
        <f t="shared" ref="R18:R25" si="11">O18+(G18*0.75)</f>
        <v>8512.5</v>
      </c>
      <c r="S18" s="221">
        <f t="shared" ref="S18:S25" si="12">G18*4</f>
        <v>9080</v>
      </c>
      <c r="T18" s="220">
        <f t="shared" ref="T18:T25" si="13">S18+(G18*0.25)</f>
        <v>9647.5</v>
      </c>
      <c r="U18" s="220">
        <f t="shared" ref="U18:U25" si="14">S18+(G18*0.5)</f>
        <v>10215</v>
      </c>
      <c r="V18" s="220">
        <f t="shared" ref="V18:V25" si="15">S18+(G18*0.75)</f>
        <v>10782.5</v>
      </c>
      <c r="W18" s="221">
        <f t="shared" ref="W18:W25" si="16">G18*5</f>
        <v>11350</v>
      </c>
      <c r="X18" s="220">
        <f t="shared" ref="X18:X25" si="17">W18+(G18*0.25)</f>
        <v>11917.5</v>
      </c>
      <c r="Y18" s="220">
        <f t="shared" ref="Y18:Y25" si="18">W18+(G18*0.5)</f>
        <v>12485</v>
      </c>
      <c r="Z18" s="220">
        <f t="shared" ref="Z18:Z25" si="19">W18+(G18*0.75)</f>
        <v>13052.5</v>
      </c>
      <c r="AA18" s="221">
        <f t="shared" ref="AA18:AA25" si="20">G18*6</f>
        <v>13620</v>
      </c>
      <c r="AB18" s="222"/>
      <c r="AC18" s="222"/>
      <c r="AD18" s="223"/>
      <c r="AE18" s="223"/>
      <c r="AF18" s="223"/>
      <c r="AG18" s="223"/>
      <c r="AH18" s="223"/>
      <c r="AI18" s="223"/>
      <c r="AJ18" s="223"/>
      <c r="AK18" s="223"/>
      <c r="AL18" s="223"/>
      <c r="AM18" s="223"/>
      <c r="AN18" s="223"/>
      <c r="AO18" s="223"/>
    </row>
    <row r="19" ht="21.75" customHeight="1">
      <c r="A19" s="81"/>
      <c r="B19" s="23"/>
      <c r="C19" s="224" t="s">
        <v>6</v>
      </c>
      <c r="D19" s="225">
        <f>G19*D15</f>
        <v>949.5</v>
      </c>
      <c r="E19" s="225">
        <f>G19*E15</f>
        <v>1371.5</v>
      </c>
      <c r="F19" s="225">
        <f>G19*F15</f>
        <v>1793.5</v>
      </c>
      <c r="G19" s="226">
        <f>N7+Y9</f>
        <v>2110</v>
      </c>
      <c r="H19" s="225">
        <f t="shared" si="1"/>
        <v>2637.5</v>
      </c>
      <c r="I19" s="225">
        <f t="shared" si="2"/>
        <v>3165</v>
      </c>
      <c r="J19" s="225">
        <f t="shared" si="3"/>
        <v>3692.5</v>
      </c>
      <c r="K19" s="226">
        <f t="shared" si="4"/>
        <v>4220</v>
      </c>
      <c r="L19" s="225">
        <f t="shared" si="5"/>
        <v>4747.5</v>
      </c>
      <c r="M19" s="225">
        <f t="shared" si="6"/>
        <v>5275</v>
      </c>
      <c r="N19" s="225">
        <f t="shared" si="7"/>
        <v>5802.5</v>
      </c>
      <c r="O19" s="226">
        <f t="shared" si="8"/>
        <v>6330</v>
      </c>
      <c r="P19" s="225">
        <f t="shared" si="9"/>
        <v>6857.5</v>
      </c>
      <c r="Q19" s="225">
        <f t="shared" si="10"/>
        <v>7385</v>
      </c>
      <c r="R19" s="225">
        <f t="shared" si="11"/>
        <v>7912.5</v>
      </c>
      <c r="S19" s="226">
        <f t="shared" si="12"/>
        <v>8440</v>
      </c>
      <c r="T19" s="225">
        <f t="shared" si="13"/>
        <v>8967.5</v>
      </c>
      <c r="U19" s="225">
        <f t="shared" si="14"/>
        <v>9495</v>
      </c>
      <c r="V19" s="225">
        <f t="shared" si="15"/>
        <v>10022.5</v>
      </c>
      <c r="W19" s="226">
        <f t="shared" si="16"/>
        <v>10550</v>
      </c>
      <c r="X19" s="225">
        <f t="shared" si="17"/>
        <v>11077.5</v>
      </c>
      <c r="Y19" s="225">
        <f t="shared" si="18"/>
        <v>11605</v>
      </c>
      <c r="Z19" s="225">
        <f t="shared" si="19"/>
        <v>12132.5</v>
      </c>
      <c r="AA19" s="226">
        <f t="shared" si="20"/>
        <v>12660</v>
      </c>
      <c r="AB19" s="222"/>
      <c r="AC19" s="222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</row>
    <row r="20" ht="21.75" customHeight="1">
      <c r="A20" s="81"/>
      <c r="B20" s="23"/>
      <c r="C20" s="219" t="s">
        <v>46</v>
      </c>
      <c r="D20" s="220">
        <f>G20*D15</f>
        <v>1080</v>
      </c>
      <c r="E20" s="220">
        <f>G20*E15</f>
        <v>1560</v>
      </c>
      <c r="F20" s="220">
        <f>G20*F15</f>
        <v>2040</v>
      </c>
      <c r="G20" s="221">
        <f>N7+Y11</f>
        <v>2400</v>
      </c>
      <c r="H20" s="220">
        <f t="shared" si="1"/>
        <v>3000</v>
      </c>
      <c r="I20" s="220">
        <f t="shared" si="2"/>
        <v>3600</v>
      </c>
      <c r="J20" s="220">
        <f t="shared" si="3"/>
        <v>4200</v>
      </c>
      <c r="K20" s="221">
        <f t="shared" si="4"/>
        <v>4800</v>
      </c>
      <c r="L20" s="220">
        <f t="shared" si="5"/>
        <v>5400</v>
      </c>
      <c r="M20" s="220">
        <f t="shared" si="6"/>
        <v>6000</v>
      </c>
      <c r="N20" s="220">
        <f t="shared" si="7"/>
        <v>6600</v>
      </c>
      <c r="O20" s="221">
        <f t="shared" si="8"/>
        <v>7200</v>
      </c>
      <c r="P20" s="220">
        <f t="shared" si="9"/>
        <v>7800</v>
      </c>
      <c r="Q20" s="220">
        <f t="shared" si="10"/>
        <v>8400</v>
      </c>
      <c r="R20" s="220">
        <f t="shared" si="11"/>
        <v>9000</v>
      </c>
      <c r="S20" s="221">
        <f t="shared" si="12"/>
        <v>9600</v>
      </c>
      <c r="T20" s="220">
        <f t="shared" si="13"/>
        <v>10200</v>
      </c>
      <c r="U20" s="220">
        <f t="shared" si="14"/>
        <v>10800</v>
      </c>
      <c r="V20" s="220">
        <f t="shared" si="15"/>
        <v>11400</v>
      </c>
      <c r="W20" s="221">
        <f t="shared" si="16"/>
        <v>12000</v>
      </c>
      <c r="X20" s="220">
        <f t="shared" si="17"/>
        <v>12600</v>
      </c>
      <c r="Y20" s="220">
        <f t="shared" si="18"/>
        <v>13200</v>
      </c>
      <c r="Z20" s="220">
        <f t="shared" si="19"/>
        <v>13800</v>
      </c>
      <c r="AA20" s="221">
        <f t="shared" si="20"/>
        <v>14400</v>
      </c>
      <c r="AB20" s="222"/>
      <c r="AC20" s="222"/>
      <c r="AD20" s="223"/>
      <c r="AE20" s="223"/>
      <c r="AF20" s="223"/>
      <c r="AG20" s="223"/>
      <c r="AH20" s="223"/>
      <c r="AI20" s="223"/>
      <c r="AJ20" s="223"/>
      <c r="AK20" s="223"/>
      <c r="AL20" s="223"/>
      <c r="AM20" s="223"/>
      <c r="AN20" s="223"/>
      <c r="AO20" s="223"/>
    </row>
    <row r="21" ht="21.75" customHeight="1">
      <c r="A21" s="81"/>
      <c r="B21" s="50"/>
      <c r="C21" s="224" t="s">
        <v>11</v>
      </c>
      <c r="D21" s="225">
        <f>G21*D15</f>
        <v>985.5</v>
      </c>
      <c r="E21" s="225">
        <f>G21*E15</f>
        <v>1423.5</v>
      </c>
      <c r="F21" s="225">
        <f>G21*F15</f>
        <v>1861.5</v>
      </c>
      <c r="G21" s="226">
        <f>N7+Y12</f>
        <v>2190</v>
      </c>
      <c r="H21" s="225">
        <f t="shared" si="1"/>
        <v>2737.5</v>
      </c>
      <c r="I21" s="225">
        <f t="shared" si="2"/>
        <v>3285</v>
      </c>
      <c r="J21" s="225">
        <f t="shared" si="3"/>
        <v>3832.5</v>
      </c>
      <c r="K21" s="226">
        <f t="shared" si="4"/>
        <v>4380</v>
      </c>
      <c r="L21" s="225">
        <f t="shared" si="5"/>
        <v>4927.5</v>
      </c>
      <c r="M21" s="225">
        <f t="shared" si="6"/>
        <v>5475</v>
      </c>
      <c r="N21" s="225">
        <f t="shared" si="7"/>
        <v>6022.5</v>
      </c>
      <c r="O21" s="226">
        <f t="shared" si="8"/>
        <v>6570</v>
      </c>
      <c r="P21" s="225">
        <f t="shared" si="9"/>
        <v>7117.5</v>
      </c>
      <c r="Q21" s="225">
        <f t="shared" si="10"/>
        <v>7665</v>
      </c>
      <c r="R21" s="225">
        <f t="shared" si="11"/>
        <v>8212.5</v>
      </c>
      <c r="S21" s="226">
        <f t="shared" si="12"/>
        <v>8760</v>
      </c>
      <c r="T21" s="225">
        <f t="shared" si="13"/>
        <v>9307.5</v>
      </c>
      <c r="U21" s="225">
        <f t="shared" si="14"/>
        <v>9855</v>
      </c>
      <c r="V21" s="225">
        <f t="shared" si="15"/>
        <v>10402.5</v>
      </c>
      <c r="W21" s="226">
        <f t="shared" si="16"/>
        <v>10950</v>
      </c>
      <c r="X21" s="225">
        <f t="shared" si="17"/>
        <v>11497.5</v>
      </c>
      <c r="Y21" s="225">
        <f t="shared" si="18"/>
        <v>12045</v>
      </c>
      <c r="Z21" s="225">
        <f t="shared" si="19"/>
        <v>12592.5</v>
      </c>
      <c r="AA21" s="226">
        <f t="shared" si="20"/>
        <v>13140</v>
      </c>
      <c r="AB21" s="222"/>
      <c r="AC21" s="222"/>
      <c r="AD21" s="223"/>
      <c r="AE21" s="223"/>
      <c r="AF21" s="223"/>
      <c r="AG21" s="223"/>
      <c r="AH21" s="223"/>
      <c r="AI21" s="223"/>
      <c r="AJ21" s="223"/>
      <c r="AK21" s="223"/>
      <c r="AL21" s="223"/>
      <c r="AM21" s="223"/>
      <c r="AN21" s="223"/>
      <c r="AO21" s="223"/>
    </row>
    <row r="22" ht="21.75" customHeight="1">
      <c r="A22" s="81"/>
      <c r="B22" s="218" t="s">
        <v>74</v>
      </c>
      <c r="C22" s="219" t="s">
        <v>45</v>
      </c>
      <c r="D22" s="220">
        <f>G22*D15</f>
        <v>1089</v>
      </c>
      <c r="E22" s="220">
        <f>G22*E15</f>
        <v>1573</v>
      </c>
      <c r="F22" s="220">
        <f>G22*F15</f>
        <v>2057</v>
      </c>
      <c r="G22" s="221">
        <f>N10+Y8</f>
        <v>2420</v>
      </c>
      <c r="H22" s="220">
        <f t="shared" si="1"/>
        <v>3025</v>
      </c>
      <c r="I22" s="220">
        <f t="shared" si="2"/>
        <v>3630</v>
      </c>
      <c r="J22" s="220">
        <f t="shared" si="3"/>
        <v>4235</v>
      </c>
      <c r="K22" s="221">
        <f t="shared" si="4"/>
        <v>4840</v>
      </c>
      <c r="L22" s="220">
        <f t="shared" si="5"/>
        <v>5445</v>
      </c>
      <c r="M22" s="220">
        <f t="shared" si="6"/>
        <v>6050</v>
      </c>
      <c r="N22" s="220">
        <f t="shared" si="7"/>
        <v>6655</v>
      </c>
      <c r="O22" s="221">
        <f t="shared" si="8"/>
        <v>7260</v>
      </c>
      <c r="P22" s="220">
        <f t="shared" si="9"/>
        <v>7865</v>
      </c>
      <c r="Q22" s="220">
        <f t="shared" si="10"/>
        <v>8470</v>
      </c>
      <c r="R22" s="220">
        <f t="shared" si="11"/>
        <v>9075</v>
      </c>
      <c r="S22" s="221">
        <f t="shared" si="12"/>
        <v>9680</v>
      </c>
      <c r="T22" s="220">
        <f t="shared" si="13"/>
        <v>10285</v>
      </c>
      <c r="U22" s="220">
        <f t="shared" si="14"/>
        <v>10890</v>
      </c>
      <c r="V22" s="220">
        <f t="shared" si="15"/>
        <v>11495</v>
      </c>
      <c r="W22" s="221">
        <f t="shared" si="16"/>
        <v>12100</v>
      </c>
      <c r="X22" s="220">
        <f t="shared" si="17"/>
        <v>12705</v>
      </c>
      <c r="Y22" s="220">
        <f t="shared" si="18"/>
        <v>13310</v>
      </c>
      <c r="Z22" s="220">
        <f t="shared" si="19"/>
        <v>13915</v>
      </c>
      <c r="AA22" s="221">
        <f t="shared" si="20"/>
        <v>14520</v>
      </c>
      <c r="AB22" s="222"/>
      <c r="AC22" s="222"/>
      <c r="AD22" s="223"/>
      <c r="AE22" s="223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/>
    </row>
    <row r="23" ht="21.75" customHeight="1">
      <c r="A23" s="81"/>
      <c r="B23" s="23"/>
      <c r="C23" s="224" t="s">
        <v>6</v>
      </c>
      <c r="D23" s="225">
        <f>G23*D15</f>
        <v>1017</v>
      </c>
      <c r="E23" s="225">
        <f>G23*E15</f>
        <v>1469</v>
      </c>
      <c r="F23" s="225">
        <f>G23*F15</f>
        <v>1921</v>
      </c>
      <c r="G23" s="226">
        <f>N10+Y9</f>
        <v>2260</v>
      </c>
      <c r="H23" s="225">
        <f t="shared" si="1"/>
        <v>2825</v>
      </c>
      <c r="I23" s="225">
        <f t="shared" si="2"/>
        <v>3390</v>
      </c>
      <c r="J23" s="225">
        <f t="shared" si="3"/>
        <v>3955</v>
      </c>
      <c r="K23" s="226">
        <f t="shared" si="4"/>
        <v>4520</v>
      </c>
      <c r="L23" s="225">
        <f t="shared" si="5"/>
        <v>5085</v>
      </c>
      <c r="M23" s="225">
        <f t="shared" si="6"/>
        <v>5650</v>
      </c>
      <c r="N23" s="225">
        <f t="shared" si="7"/>
        <v>6215</v>
      </c>
      <c r="O23" s="226">
        <f t="shared" si="8"/>
        <v>6780</v>
      </c>
      <c r="P23" s="225">
        <f t="shared" si="9"/>
        <v>7345</v>
      </c>
      <c r="Q23" s="225">
        <f t="shared" si="10"/>
        <v>7910</v>
      </c>
      <c r="R23" s="225">
        <f t="shared" si="11"/>
        <v>8475</v>
      </c>
      <c r="S23" s="226">
        <f t="shared" si="12"/>
        <v>9040</v>
      </c>
      <c r="T23" s="225">
        <f t="shared" si="13"/>
        <v>9605</v>
      </c>
      <c r="U23" s="225">
        <f t="shared" si="14"/>
        <v>10170</v>
      </c>
      <c r="V23" s="225">
        <f t="shared" si="15"/>
        <v>10735</v>
      </c>
      <c r="W23" s="226">
        <f t="shared" si="16"/>
        <v>11300</v>
      </c>
      <c r="X23" s="225">
        <f t="shared" si="17"/>
        <v>11865</v>
      </c>
      <c r="Y23" s="225">
        <f t="shared" si="18"/>
        <v>12430</v>
      </c>
      <c r="Z23" s="225">
        <f t="shared" si="19"/>
        <v>12995</v>
      </c>
      <c r="AA23" s="226">
        <f t="shared" si="20"/>
        <v>13560</v>
      </c>
      <c r="AB23" s="222"/>
      <c r="AC23" s="222"/>
      <c r="AD23" s="223"/>
      <c r="AE23" s="223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</row>
    <row r="24" ht="21.75" customHeight="1">
      <c r="A24" s="81"/>
      <c r="B24" s="23"/>
      <c r="C24" s="219" t="s">
        <v>46</v>
      </c>
      <c r="D24" s="220">
        <f>G24*D15</f>
        <v>1147.5</v>
      </c>
      <c r="E24" s="220">
        <f>G24*E15</f>
        <v>1657.5</v>
      </c>
      <c r="F24" s="220">
        <f>G24*F15</f>
        <v>2167.5</v>
      </c>
      <c r="G24" s="221">
        <f>N10+Y11</f>
        <v>2550</v>
      </c>
      <c r="H24" s="220">
        <f t="shared" si="1"/>
        <v>3187.5</v>
      </c>
      <c r="I24" s="220">
        <f t="shared" si="2"/>
        <v>3825</v>
      </c>
      <c r="J24" s="220">
        <f t="shared" si="3"/>
        <v>4462.5</v>
      </c>
      <c r="K24" s="221">
        <f t="shared" si="4"/>
        <v>5100</v>
      </c>
      <c r="L24" s="220">
        <f t="shared" si="5"/>
        <v>5737.5</v>
      </c>
      <c r="M24" s="220">
        <f t="shared" si="6"/>
        <v>6375</v>
      </c>
      <c r="N24" s="220">
        <f t="shared" si="7"/>
        <v>7012.5</v>
      </c>
      <c r="O24" s="221">
        <f t="shared" si="8"/>
        <v>7650</v>
      </c>
      <c r="P24" s="220">
        <f t="shared" si="9"/>
        <v>8287.5</v>
      </c>
      <c r="Q24" s="220">
        <f t="shared" si="10"/>
        <v>8925</v>
      </c>
      <c r="R24" s="220">
        <f t="shared" si="11"/>
        <v>9562.5</v>
      </c>
      <c r="S24" s="221">
        <f t="shared" si="12"/>
        <v>10200</v>
      </c>
      <c r="T24" s="220">
        <f t="shared" si="13"/>
        <v>10837.5</v>
      </c>
      <c r="U24" s="220">
        <f t="shared" si="14"/>
        <v>11475</v>
      </c>
      <c r="V24" s="220">
        <f t="shared" si="15"/>
        <v>12112.5</v>
      </c>
      <c r="W24" s="221">
        <f t="shared" si="16"/>
        <v>12750</v>
      </c>
      <c r="X24" s="220">
        <f t="shared" si="17"/>
        <v>13387.5</v>
      </c>
      <c r="Y24" s="220">
        <f t="shared" si="18"/>
        <v>14025</v>
      </c>
      <c r="Z24" s="220">
        <f t="shared" si="19"/>
        <v>14662.5</v>
      </c>
      <c r="AA24" s="221">
        <f t="shared" si="20"/>
        <v>15300</v>
      </c>
      <c r="AB24" s="222"/>
      <c r="AC24" s="222"/>
      <c r="AD24" s="223"/>
      <c r="AE24" s="223"/>
      <c r="AF24" s="223"/>
      <c r="AG24" s="223"/>
      <c r="AH24" s="223"/>
      <c r="AI24" s="223"/>
      <c r="AJ24" s="223"/>
      <c r="AK24" s="223"/>
      <c r="AL24" s="223"/>
      <c r="AM24" s="223"/>
      <c r="AN24" s="223"/>
      <c r="AO24" s="223"/>
    </row>
    <row r="25" ht="21.75" customHeight="1">
      <c r="A25" s="204"/>
      <c r="B25" s="50"/>
      <c r="C25" s="224" t="s">
        <v>11</v>
      </c>
      <c r="D25" s="225">
        <f>G25*D15</f>
        <v>1053</v>
      </c>
      <c r="E25" s="225">
        <f>G25*E15</f>
        <v>1521</v>
      </c>
      <c r="F25" s="225">
        <f>G25*F15</f>
        <v>1989</v>
      </c>
      <c r="G25" s="226">
        <f>N10+Y12</f>
        <v>2340</v>
      </c>
      <c r="H25" s="225">
        <f t="shared" si="1"/>
        <v>2925</v>
      </c>
      <c r="I25" s="225">
        <f t="shared" si="2"/>
        <v>3510</v>
      </c>
      <c r="J25" s="225">
        <f t="shared" si="3"/>
        <v>4095</v>
      </c>
      <c r="K25" s="226">
        <f t="shared" si="4"/>
        <v>4680</v>
      </c>
      <c r="L25" s="225">
        <f t="shared" si="5"/>
        <v>5265</v>
      </c>
      <c r="M25" s="225">
        <f t="shared" si="6"/>
        <v>5850</v>
      </c>
      <c r="N25" s="225">
        <f t="shared" si="7"/>
        <v>6435</v>
      </c>
      <c r="O25" s="226">
        <f t="shared" si="8"/>
        <v>7020</v>
      </c>
      <c r="P25" s="225">
        <f t="shared" si="9"/>
        <v>7605</v>
      </c>
      <c r="Q25" s="225">
        <f t="shared" si="10"/>
        <v>8190</v>
      </c>
      <c r="R25" s="225">
        <f t="shared" si="11"/>
        <v>8775</v>
      </c>
      <c r="S25" s="226">
        <f t="shared" si="12"/>
        <v>9360</v>
      </c>
      <c r="T25" s="225">
        <f t="shared" si="13"/>
        <v>9945</v>
      </c>
      <c r="U25" s="225">
        <f t="shared" si="14"/>
        <v>10530</v>
      </c>
      <c r="V25" s="225">
        <f t="shared" si="15"/>
        <v>11115</v>
      </c>
      <c r="W25" s="226">
        <f t="shared" si="16"/>
        <v>11700</v>
      </c>
      <c r="X25" s="225">
        <f t="shared" si="17"/>
        <v>12285</v>
      </c>
      <c r="Y25" s="225">
        <f t="shared" si="18"/>
        <v>12870</v>
      </c>
      <c r="Z25" s="225">
        <f t="shared" si="19"/>
        <v>13455</v>
      </c>
      <c r="AA25" s="226">
        <f t="shared" si="20"/>
        <v>14040</v>
      </c>
      <c r="AB25" s="222"/>
      <c r="AC25" s="222"/>
      <c r="AD25" s="223"/>
      <c r="AE25" s="223"/>
      <c r="AF25" s="223"/>
      <c r="AG25" s="223"/>
      <c r="AH25" s="223"/>
      <c r="AI25" s="223"/>
      <c r="AJ25" s="223"/>
      <c r="AK25" s="223"/>
      <c r="AL25" s="223"/>
      <c r="AM25" s="223"/>
      <c r="AN25" s="223"/>
      <c r="AO25" s="223"/>
    </row>
    <row r="26" ht="15.75" customHeight="1">
      <c r="A26" s="9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ht="15.0" customHeight="1">
      <c r="A27" s="94" t="s">
        <v>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ht="15.0" customHeight="1">
      <c r="A28" s="94" t="s">
        <v>50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ht="15.75" customHeight="1">
      <c r="A29" s="9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ht="15.75" customHeight="1">
      <c r="A30" s="9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ht="15.75" customHeight="1">
      <c r="A31" s="9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ht="15.75" customHeight="1">
      <c r="A32" s="9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ht="15.75" customHeight="1">
      <c r="A33" s="9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ht="15.75" customHeight="1">
      <c r="A34" s="9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ht="15.75" customHeight="1">
      <c r="A35" s="9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ht="15.75" customHeight="1">
      <c r="A36" s="9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ht="15.75" customHeight="1">
      <c r="A37" s="9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ht="15.75" customHeight="1">
      <c r="A38" s="9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ht="15.75" customHeight="1">
      <c r="A39" s="9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ht="15.75" customHeight="1">
      <c r="A40" s="9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ht="15.75" customHeight="1">
      <c r="A41" s="9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ht="15.75" customHeight="1">
      <c r="A42" s="9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ht="15.75" customHeight="1">
      <c r="A43" s="9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ht="15.75" customHeight="1">
      <c r="A44" s="9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ht="15.75" customHeight="1">
      <c r="A45" s="9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ht="15.75" customHeight="1">
      <c r="A46" s="9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ht="15.75" customHeight="1">
      <c r="A47" s="9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ht="15.75" customHeight="1">
      <c r="A48" s="9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ht="15.75" customHeight="1">
      <c r="A49" s="9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ht="15.75" customHeight="1">
      <c r="A50" s="9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ht="15.75" customHeight="1">
      <c r="A51" s="9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ht="15.75" customHeight="1">
      <c r="A52" s="9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ht="15.75" customHeight="1">
      <c r="A53" s="9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ht="15.75" customHeight="1">
      <c r="A54" s="9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ht="15.75" customHeight="1">
      <c r="A55" s="9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ht="15.75" customHeight="1">
      <c r="A56" s="9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ht="15.75" customHeight="1">
      <c r="A57" s="9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ht="15.75" customHeight="1">
      <c r="A58" s="9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ht="15.75" customHeight="1">
      <c r="A59" s="9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ht="15.75" customHeight="1">
      <c r="A60" s="9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ht="15.75" customHeight="1">
      <c r="A61" s="9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ht="15.75" customHeight="1">
      <c r="A62" s="9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ht="15.75" customHeight="1">
      <c r="A63" s="9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ht="15.75" customHeight="1">
      <c r="A64" s="9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ht="15.75" customHeight="1">
      <c r="A65" s="9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ht="15.75" customHeight="1">
      <c r="A66" s="9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ht="15.75" customHeight="1">
      <c r="A67" s="9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ht="15.75" customHeight="1">
      <c r="A68" s="9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ht="15.75" customHeight="1">
      <c r="A69" s="9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ht="15.75" customHeight="1">
      <c r="A70" s="9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ht="15.75" customHeight="1">
      <c r="A71" s="9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ht="15.75" customHeight="1">
      <c r="A72" s="9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ht="15.75" customHeight="1">
      <c r="A73" s="9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ht="15.75" customHeight="1">
      <c r="A74" s="9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ht="15.75" customHeight="1">
      <c r="A75" s="9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ht="15.75" customHeight="1">
      <c r="A76" s="9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ht="15.75" customHeight="1">
      <c r="A77" s="9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ht="15.75" customHeight="1">
      <c r="A78" s="9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ht="15.75" customHeight="1">
      <c r="A79" s="9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ht="15.75" customHeight="1">
      <c r="A80" s="9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ht="15.75" customHeight="1">
      <c r="A81" s="9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ht="15.75" customHeight="1">
      <c r="A82" s="9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ht="15.75" customHeight="1">
      <c r="A83" s="9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ht="15.75" customHeight="1">
      <c r="A84" s="9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ht="15.75" customHeight="1">
      <c r="A85" s="9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ht="15.75" customHeight="1">
      <c r="A86" s="9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ht="15.75" customHeight="1">
      <c r="A87" s="9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ht="15.75" customHeight="1">
      <c r="A88" s="9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ht="15.75" customHeight="1">
      <c r="A89" s="9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ht="15.75" customHeight="1">
      <c r="A90" s="9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ht="15.75" customHeight="1">
      <c r="A91" s="9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ht="15.75" customHeight="1">
      <c r="A92" s="9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ht="15.75" customHeight="1">
      <c r="A93" s="9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ht="15.75" customHeight="1">
      <c r="A94" s="9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ht="15.75" customHeight="1">
      <c r="A95" s="9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ht="15.75" customHeight="1">
      <c r="A96" s="9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ht="15.75" customHeight="1">
      <c r="A97" s="9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ht="15.75" customHeight="1">
      <c r="A98" s="9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ht="15.75" customHeight="1">
      <c r="A99" s="9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ht="15.75" customHeight="1">
      <c r="A100" s="9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ht="15.75" customHeight="1">
      <c r="A101" s="9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ht="15.75" customHeight="1">
      <c r="A102" s="9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ht="15.75" customHeight="1">
      <c r="A103" s="9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ht="15.75" customHeight="1">
      <c r="A104" s="9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ht="15.75" customHeight="1">
      <c r="A105" s="9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ht="15.75" customHeight="1">
      <c r="A106" s="9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ht="15.75" customHeight="1">
      <c r="A107" s="9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ht="15.75" customHeight="1">
      <c r="A108" s="9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ht="15.75" customHeight="1">
      <c r="A109" s="9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ht="15.75" customHeight="1">
      <c r="A110" s="9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ht="15.75" customHeight="1">
      <c r="A111" s="9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ht="15.75" customHeight="1">
      <c r="A112" s="9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ht="15.75" customHeight="1">
      <c r="A113" s="9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ht="15.75" customHeight="1">
      <c r="A114" s="9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ht="15.75" customHeight="1">
      <c r="A115" s="9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ht="15.75" customHeight="1">
      <c r="A116" s="9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ht="15.75" customHeight="1">
      <c r="A117" s="9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ht="15.75" customHeight="1">
      <c r="A118" s="9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ht="15.75" customHeight="1">
      <c r="A119" s="9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ht="15.75" customHeight="1">
      <c r="A120" s="9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ht="15.75" customHeight="1">
      <c r="A121" s="9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ht="15.75" customHeight="1">
      <c r="A122" s="9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ht="15.75" customHeight="1">
      <c r="A123" s="9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ht="15.75" customHeight="1">
      <c r="A124" s="9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ht="15.75" customHeight="1">
      <c r="A125" s="9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ht="15.75" customHeight="1">
      <c r="A126" s="9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ht="15.75" customHeight="1">
      <c r="A127" s="9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ht="15.75" customHeight="1">
      <c r="A128" s="9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ht="15.75" customHeight="1">
      <c r="A129" s="9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ht="15.75" customHeight="1">
      <c r="A130" s="9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ht="15.75" customHeight="1">
      <c r="A131" s="9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ht="15.75" customHeight="1">
      <c r="A132" s="9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ht="15.75" customHeight="1">
      <c r="A133" s="9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ht="15.75" customHeight="1">
      <c r="A134" s="9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ht="15.75" customHeight="1">
      <c r="A135" s="9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ht="15.75" customHeight="1">
      <c r="A136" s="9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ht="15.75" customHeight="1">
      <c r="A137" s="9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ht="15.75" customHeight="1">
      <c r="A138" s="9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ht="15.75" customHeight="1">
      <c r="A139" s="9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ht="15.75" customHeight="1">
      <c r="A140" s="9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ht="15.75" customHeight="1">
      <c r="A141" s="9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ht="15.75" customHeight="1">
      <c r="A142" s="9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ht="15.75" customHeight="1">
      <c r="A143" s="9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ht="15.75" customHeight="1">
      <c r="A144" s="9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ht="15.75" customHeight="1">
      <c r="A145" s="9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ht="15.75" customHeight="1">
      <c r="A146" s="9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ht="15.75" customHeight="1">
      <c r="A147" s="9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ht="15.75" customHeight="1">
      <c r="A148" s="9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ht="15.75" customHeight="1">
      <c r="A149" s="9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ht="15.75" customHeight="1">
      <c r="A150" s="9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ht="15.75" customHeight="1">
      <c r="A151" s="9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ht="15.75" customHeight="1">
      <c r="A152" s="9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ht="15.75" customHeight="1">
      <c r="A153" s="9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ht="15.75" customHeight="1">
      <c r="A154" s="9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ht="15.75" customHeight="1">
      <c r="A155" s="9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ht="15.75" customHeight="1">
      <c r="A156" s="9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ht="15.75" customHeight="1">
      <c r="A157" s="9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ht="15.75" customHeight="1">
      <c r="A158" s="9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ht="15.75" customHeight="1">
      <c r="A159" s="9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ht="15.75" customHeight="1">
      <c r="A160" s="9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ht="15.75" customHeight="1">
      <c r="A161" s="9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ht="15.75" customHeight="1">
      <c r="A162" s="9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ht="15.75" customHeight="1">
      <c r="A163" s="9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ht="15.75" customHeight="1">
      <c r="A164" s="9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ht="15.75" customHeight="1">
      <c r="A165" s="9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ht="15.75" customHeight="1">
      <c r="A166" s="9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ht="15.75" customHeight="1">
      <c r="A167" s="9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ht="15.75" customHeight="1">
      <c r="A168" s="9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ht="15.75" customHeight="1">
      <c r="A169" s="9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ht="15.75" customHeight="1">
      <c r="A170" s="9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ht="15.75" customHeight="1">
      <c r="A171" s="9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ht="15.75" customHeight="1">
      <c r="A172" s="9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ht="15.75" customHeight="1">
      <c r="A173" s="9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ht="15.75" customHeight="1">
      <c r="A174" s="9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ht="15.75" customHeight="1">
      <c r="A175" s="9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ht="15.75" customHeight="1">
      <c r="A176" s="9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ht="15.75" customHeight="1">
      <c r="A177" s="9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ht="15.75" customHeight="1">
      <c r="A178" s="9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ht="15.75" customHeight="1">
      <c r="A179" s="9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ht="15.75" customHeight="1">
      <c r="A180" s="9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ht="15.75" customHeight="1">
      <c r="A181" s="9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ht="15.75" customHeight="1">
      <c r="A182" s="9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ht="15.75" customHeight="1">
      <c r="A183" s="9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ht="15.75" customHeight="1">
      <c r="A184" s="9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ht="15.75" customHeight="1">
      <c r="A185" s="9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ht="15.75" customHeight="1">
      <c r="A186" s="9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ht="15.75" customHeight="1">
      <c r="A187" s="9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ht="15.75" customHeight="1">
      <c r="A188" s="9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ht="15.75" customHeight="1">
      <c r="A189" s="9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ht="15.75" customHeight="1">
      <c r="A190" s="9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ht="15.75" customHeight="1">
      <c r="A191" s="9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ht="15.75" customHeight="1">
      <c r="A192" s="9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ht="15.75" customHeight="1">
      <c r="A193" s="9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ht="15.75" customHeight="1">
      <c r="A194" s="9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ht="15.75" customHeight="1">
      <c r="A195" s="9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ht="15.75" customHeight="1">
      <c r="A196" s="9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ht="15.75" customHeight="1">
      <c r="A197" s="9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ht="15.75" customHeight="1">
      <c r="A198" s="9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ht="15.75" customHeight="1">
      <c r="A199" s="9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ht="15.75" customHeight="1">
      <c r="A200" s="9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ht="15.75" customHeight="1">
      <c r="A201" s="9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ht="15.75" customHeight="1">
      <c r="A202" s="9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ht="15.75" customHeight="1">
      <c r="A203" s="9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ht="15.75" customHeight="1">
      <c r="A204" s="9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ht="15.75" customHeight="1">
      <c r="A205" s="9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ht="15.75" customHeight="1">
      <c r="A206" s="9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ht="15.75" customHeight="1">
      <c r="A207" s="9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ht="15.75" customHeight="1">
      <c r="A208" s="9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ht="15.75" customHeight="1">
      <c r="A209" s="9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ht="15.75" customHeight="1">
      <c r="A210" s="9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ht="15.75" customHeight="1">
      <c r="A211" s="9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ht="15.75" customHeight="1">
      <c r="A212" s="9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ht="15.75" customHeight="1">
      <c r="A213" s="9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ht="15.75" customHeight="1">
      <c r="A214" s="9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ht="15.75" customHeight="1">
      <c r="A215" s="9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ht="15.75" customHeight="1">
      <c r="A216" s="9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ht="15.75" customHeight="1">
      <c r="A217" s="9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ht="15.75" customHeight="1">
      <c r="A218" s="9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ht="15.75" customHeight="1">
      <c r="A219" s="9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ht="15.75" customHeight="1">
      <c r="A220" s="9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ht="15.75" customHeight="1">
      <c r="A221" s="9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ht="15.75" customHeight="1">
      <c r="A222" s="9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ht="15.75" customHeight="1">
      <c r="A223" s="9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ht="15.75" customHeight="1">
      <c r="A224" s="9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ht="15.75" customHeight="1">
      <c r="A225" s="9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ht="15.75" customHeight="1">
      <c r="A226" s="9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ht="15.75" customHeight="1">
      <c r="A227" s="9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ht="15.75" customHeight="1">
      <c r="A228" s="9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ht="15.75" customHeight="1">
      <c r="A229" s="9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ht="15.75" customHeight="1">
      <c r="A230" s="9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ht="15.75" customHeight="1">
      <c r="A231" s="9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ht="15.75" customHeight="1">
      <c r="A232" s="9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ht="15.75" customHeight="1">
      <c r="A233" s="9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ht="15.75" customHeight="1">
      <c r="A234" s="9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ht="15.75" customHeight="1">
      <c r="A235" s="9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ht="15.75" customHeight="1">
      <c r="A236" s="9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ht="15.75" customHeight="1">
      <c r="A237" s="9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ht="15.75" customHeight="1">
      <c r="A238" s="9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ht="15.75" customHeight="1">
      <c r="A239" s="9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ht="15.75" customHeight="1">
      <c r="A240" s="9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ht="15.75" customHeight="1">
      <c r="A241" s="9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ht="15.75" customHeight="1">
      <c r="A242" s="9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ht="15.75" customHeight="1">
      <c r="A243" s="9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ht="15.75" customHeight="1">
      <c r="A244" s="9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ht="15.75" customHeight="1">
      <c r="A245" s="9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ht="15.75" customHeight="1">
      <c r="A246" s="9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ht="15.75" customHeight="1">
      <c r="A247" s="9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ht="15.75" customHeight="1">
      <c r="A248" s="9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ht="15.75" customHeight="1">
      <c r="A249" s="9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ht="15.75" customHeight="1">
      <c r="A250" s="9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ht="15.75" customHeight="1">
      <c r="A251" s="9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ht="15.75" customHeight="1">
      <c r="A252" s="9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ht="15.75" customHeight="1">
      <c r="A253" s="9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ht="15.75" customHeight="1">
      <c r="A254" s="9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ht="15.75" customHeight="1">
      <c r="A255" s="9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ht="15.75" customHeight="1">
      <c r="A256" s="9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ht="15.75" customHeight="1">
      <c r="A257" s="9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ht="15.75" customHeight="1">
      <c r="A258" s="9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ht="15.75" customHeight="1">
      <c r="A259" s="9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ht="15.75" customHeight="1">
      <c r="A260" s="9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ht="15.75" customHeight="1">
      <c r="A261" s="9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ht="15.75" customHeight="1">
      <c r="A262" s="9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ht="15.75" customHeight="1">
      <c r="A263" s="9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ht="15.75" customHeight="1">
      <c r="A264" s="9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ht="15.75" customHeight="1">
      <c r="A265" s="9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ht="15.75" customHeight="1">
      <c r="A266" s="9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ht="15.75" customHeight="1">
      <c r="A267" s="9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ht="15.75" customHeight="1">
      <c r="A268" s="9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ht="15.75" customHeight="1">
      <c r="A269" s="9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ht="15.75" customHeight="1">
      <c r="A270" s="9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ht="15.75" customHeight="1">
      <c r="A271" s="9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ht="15.75" customHeight="1">
      <c r="A272" s="9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ht="15.75" customHeight="1">
      <c r="A273" s="9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ht="15.75" customHeight="1">
      <c r="A274" s="9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ht="15.75" customHeight="1">
      <c r="A275" s="9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ht="15.75" customHeight="1">
      <c r="A276" s="9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ht="15.75" customHeight="1">
      <c r="A277" s="9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ht="15.75" customHeight="1">
      <c r="A278" s="9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ht="15.75" customHeight="1">
      <c r="A279" s="9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ht="15.75" customHeight="1">
      <c r="A280" s="9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ht="15.75" customHeight="1">
      <c r="A281" s="9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ht="15.75" customHeight="1">
      <c r="A282" s="9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ht="15.75" customHeight="1">
      <c r="A283" s="9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ht="15.75" customHeight="1">
      <c r="A284" s="9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ht="15.75" customHeight="1">
      <c r="A285" s="9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ht="15.75" customHeight="1">
      <c r="A286" s="9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ht="15.75" customHeight="1">
      <c r="A287" s="9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ht="15.75" customHeight="1">
      <c r="A288" s="9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ht="15.75" customHeight="1">
      <c r="A289" s="9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ht="15.75" customHeight="1">
      <c r="A290" s="9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ht="15.75" customHeight="1">
      <c r="A291" s="9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ht="15.75" customHeight="1">
      <c r="A292" s="9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ht="15.75" customHeight="1">
      <c r="A293" s="9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ht="15.75" customHeight="1">
      <c r="A294" s="9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ht="15.75" customHeight="1">
      <c r="A295" s="9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ht="15.75" customHeight="1">
      <c r="A296" s="9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ht="15.75" customHeight="1">
      <c r="A297" s="9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ht="15.75" customHeight="1">
      <c r="A298" s="9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ht="15.75" customHeight="1">
      <c r="A299" s="9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ht="15.75" customHeight="1">
      <c r="A300" s="9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ht="15.75" customHeight="1">
      <c r="A301" s="9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ht="15.75" customHeight="1">
      <c r="A302" s="9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ht="15.75" customHeight="1">
      <c r="A303" s="9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ht="15.75" customHeight="1">
      <c r="A304" s="9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ht="15.75" customHeight="1">
      <c r="A305" s="9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ht="15.75" customHeight="1">
      <c r="A306" s="9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ht="15.75" customHeight="1">
      <c r="A307" s="9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ht="15.75" customHeight="1">
      <c r="A308" s="9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ht="15.75" customHeight="1">
      <c r="A309" s="9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ht="15.75" customHeight="1">
      <c r="A310" s="9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ht="15.75" customHeight="1">
      <c r="A311" s="9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ht="15.75" customHeight="1">
      <c r="A312" s="9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ht="15.75" customHeight="1">
      <c r="A313" s="9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ht="15.75" customHeight="1">
      <c r="A314" s="9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ht="15.75" customHeight="1">
      <c r="A315" s="9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ht="15.75" customHeight="1">
      <c r="A316" s="9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ht="15.75" customHeight="1">
      <c r="A317" s="9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ht="15.75" customHeight="1">
      <c r="A318" s="9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ht="15.75" customHeight="1">
      <c r="A319" s="9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ht="15.75" customHeight="1">
      <c r="A320" s="9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ht="15.75" customHeight="1">
      <c r="A321" s="9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ht="15.75" customHeight="1">
      <c r="A322" s="9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ht="15.75" customHeight="1">
      <c r="A323" s="9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ht="15.75" customHeight="1">
      <c r="A324" s="9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ht="15.75" customHeight="1">
      <c r="A325" s="9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ht="15.75" customHeight="1">
      <c r="A326" s="9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ht="15.75" customHeight="1">
      <c r="A327" s="9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ht="15.75" customHeight="1">
      <c r="A328" s="9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ht="15.75" customHeight="1">
      <c r="A329" s="9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ht="15.75" customHeight="1">
      <c r="A330" s="9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ht="15.75" customHeight="1">
      <c r="A331" s="9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ht="15.75" customHeight="1">
      <c r="A332" s="9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ht="15.75" customHeight="1">
      <c r="A333" s="9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ht="15.75" customHeight="1">
      <c r="A334" s="9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ht="15.75" customHeight="1">
      <c r="A335" s="9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ht="15.75" customHeight="1">
      <c r="A336" s="9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ht="15.75" customHeight="1">
      <c r="A337" s="9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ht="15.75" customHeight="1">
      <c r="A338" s="9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ht="15.75" customHeight="1">
      <c r="A339" s="9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ht="15.75" customHeight="1">
      <c r="A340" s="9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ht="15.75" customHeight="1">
      <c r="A341" s="9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ht="15.75" customHeight="1">
      <c r="A342" s="9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ht="15.75" customHeight="1">
      <c r="A343" s="9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ht="15.75" customHeight="1">
      <c r="A344" s="9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ht="15.75" customHeight="1">
      <c r="A345" s="9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ht="15.75" customHeight="1">
      <c r="A346" s="9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ht="15.75" customHeight="1">
      <c r="A347" s="9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ht="15.75" customHeight="1">
      <c r="A348" s="9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ht="15.75" customHeight="1">
      <c r="A349" s="9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ht="15.75" customHeight="1">
      <c r="A350" s="9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ht="15.75" customHeight="1">
      <c r="A351" s="9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ht="15.75" customHeight="1">
      <c r="A352" s="9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ht="15.75" customHeight="1">
      <c r="A353" s="9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ht="15.75" customHeight="1">
      <c r="A354" s="9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ht="15.75" customHeight="1">
      <c r="A355" s="9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ht="15.75" customHeight="1">
      <c r="A356" s="9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ht="15.75" customHeight="1">
      <c r="A357" s="9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ht="15.75" customHeight="1">
      <c r="A358" s="9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ht="15.75" customHeight="1">
      <c r="A359" s="9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ht="15.75" customHeight="1">
      <c r="A360" s="9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ht="15.75" customHeight="1">
      <c r="A361" s="9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ht="15.75" customHeight="1">
      <c r="A362" s="9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ht="15.75" customHeight="1">
      <c r="A363" s="9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ht="15.75" customHeight="1">
      <c r="A364" s="9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ht="15.75" customHeight="1">
      <c r="A365" s="9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ht="15.75" customHeight="1">
      <c r="A366" s="9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ht="15.75" customHeight="1">
      <c r="A367" s="9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ht="15.75" customHeight="1">
      <c r="A368" s="9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ht="15.75" customHeight="1">
      <c r="A369" s="9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ht="15.75" customHeight="1">
      <c r="A370" s="9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ht="15.75" customHeight="1">
      <c r="A371" s="9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ht="15.75" customHeight="1">
      <c r="A372" s="9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ht="15.75" customHeight="1">
      <c r="A373" s="9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ht="15.75" customHeight="1">
      <c r="A374" s="9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ht="15.75" customHeight="1">
      <c r="A375" s="9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ht="15.75" customHeight="1">
      <c r="A376" s="9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ht="15.75" customHeight="1">
      <c r="A377" s="9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ht="15.75" customHeight="1">
      <c r="A378" s="9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ht="15.75" customHeight="1">
      <c r="A379" s="9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ht="15.75" customHeight="1">
      <c r="A380" s="9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ht="15.75" customHeight="1">
      <c r="A381" s="9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ht="15.75" customHeight="1">
      <c r="A382" s="9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ht="15.75" customHeight="1">
      <c r="A383" s="9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ht="15.75" customHeight="1">
      <c r="A384" s="9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ht="15.75" customHeight="1">
      <c r="A385" s="9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ht="15.75" customHeight="1">
      <c r="A386" s="9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ht="15.75" customHeight="1">
      <c r="A387" s="9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ht="15.75" customHeight="1">
      <c r="A388" s="9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ht="15.75" customHeight="1">
      <c r="A389" s="9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ht="15.75" customHeight="1">
      <c r="A390" s="9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ht="15.75" customHeight="1">
      <c r="A391" s="9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ht="15.75" customHeight="1">
      <c r="A392" s="9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ht="15.75" customHeight="1">
      <c r="A393" s="9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ht="15.75" customHeight="1">
      <c r="A394" s="9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ht="15.75" customHeight="1">
      <c r="A395" s="9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ht="15.75" customHeight="1">
      <c r="A396" s="9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ht="15.75" customHeight="1">
      <c r="A397" s="9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ht="15.75" customHeight="1">
      <c r="A398" s="9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ht="15.75" customHeight="1">
      <c r="A399" s="9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ht="15.75" customHeight="1">
      <c r="A400" s="9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ht="15.75" customHeight="1">
      <c r="A401" s="9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ht="15.75" customHeight="1">
      <c r="A402" s="9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ht="15.75" customHeight="1">
      <c r="A403" s="9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ht="15.75" customHeight="1">
      <c r="A404" s="9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ht="15.75" customHeight="1">
      <c r="A405" s="9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ht="15.75" customHeight="1">
      <c r="A406" s="9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ht="15.75" customHeight="1">
      <c r="A407" s="9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ht="15.75" customHeight="1">
      <c r="A408" s="9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ht="15.75" customHeight="1">
      <c r="A409" s="9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ht="15.75" customHeight="1">
      <c r="A410" s="9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ht="15.75" customHeight="1">
      <c r="A411" s="9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ht="15.75" customHeight="1">
      <c r="A412" s="9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ht="15.75" customHeight="1">
      <c r="A413" s="9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ht="15.75" customHeight="1">
      <c r="A414" s="9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ht="15.75" customHeight="1">
      <c r="A415" s="9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ht="15.75" customHeight="1">
      <c r="A416" s="9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ht="15.75" customHeight="1">
      <c r="A417" s="9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ht="15.75" customHeight="1">
      <c r="A418" s="9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ht="15.75" customHeight="1">
      <c r="A419" s="9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ht="15.75" customHeight="1">
      <c r="A420" s="9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ht="15.75" customHeight="1">
      <c r="A421" s="9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ht="15.75" customHeight="1">
      <c r="A422" s="9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ht="15.75" customHeight="1">
      <c r="A423" s="9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ht="15.75" customHeight="1">
      <c r="A424" s="9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ht="15.75" customHeight="1">
      <c r="A425" s="9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ht="15.75" customHeight="1">
      <c r="A426" s="9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ht="15.75" customHeight="1">
      <c r="A427" s="9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ht="15.75" customHeight="1">
      <c r="A428" s="9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ht="15.75" customHeight="1">
      <c r="A429" s="9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ht="15.75" customHeight="1">
      <c r="A430" s="9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ht="15.75" customHeight="1">
      <c r="A431" s="9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ht="15.75" customHeight="1">
      <c r="A432" s="9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ht="15.75" customHeight="1">
      <c r="A433" s="9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ht="15.75" customHeight="1">
      <c r="A434" s="9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ht="15.75" customHeight="1">
      <c r="A435" s="9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ht="15.75" customHeight="1">
      <c r="A436" s="9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ht="15.75" customHeight="1">
      <c r="A437" s="9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ht="15.75" customHeight="1">
      <c r="A438" s="9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ht="15.75" customHeight="1">
      <c r="A439" s="9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ht="15.75" customHeight="1">
      <c r="A440" s="9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ht="15.75" customHeight="1">
      <c r="A441" s="9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ht="15.75" customHeight="1">
      <c r="A442" s="9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ht="15.75" customHeight="1">
      <c r="A443" s="9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ht="15.75" customHeight="1">
      <c r="A444" s="9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ht="15.75" customHeight="1">
      <c r="A445" s="9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ht="15.75" customHeight="1">
      <c r="A446" s="9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ht="15.75" customHeight="1">
      <c r="A447" s="9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ht="15.75" customHeight="1">
      <c r="A448" s="9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ht="15.75" customHeight="1">
      <c r="A449" s="9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ht="15.75" customHeight="1">
      <c r="A450" s="9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ht="15.75" customHeight="1">
      <c r="A451" s="9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ht="15.75" customHeight="1">
      <c r="A452" s="9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ht="15.75" customHeight="1">
      <c r="A453" s="9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ht="15.75" customHeight="1">
      <c r="A454" s="9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ht="15.75" customHeight="1">
      <c r="A455" s="9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ht="15.75" customHeight="1">
      <c r="A456" s="9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ht="15.75" customHeight="1">
      <c r="A457" s="9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ht="15.75" customHeight="1">
      <c r="A458" s="9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ht="15.75" customHeight="1">
      <c r="A459" s="9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ht="15.75" customHeight="1">
      <c r="A460" s="9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ht="15.75" customHeight="1">
      <c r="A461" s="9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ht="15.75" customHeight="1">
      <c r="A462" s="9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ht="15.75" customHeight="1">
      <c r="A463" s="9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ht="15.75" customHeight="1">
      <c r="A464" s="9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ht="15.75" customHeight="1">
      <c r="A465" s="9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ht="15.75" customHeight="1">
      <c r="A466" s="9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ht="15.75" customHeight="1">
      <c r="A467" s="9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ht="15.75" customHeight="1">
      <c r="A468" s="9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ht="15.75" customHeight="1">
      <c r="A469" s="9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ht="15.75" customHeight="1">
      <c r="A470" s="9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ht="15.75" customHeight="1">
      <c r="A471" s="9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ht="15.75" customHeight="1">
      <c r="A472" s="9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ht="15.75" customHeight="1">
      <c r="A473" s="9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ht="15.75" customHeight="1">
      <c r="A474" s="9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ht="15.75" customHeight="1">
      <c r="A475" s="9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ht="15.75" customHeight="1">
      <c r="A476" s="9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ht="15.75" customHeight="1">
      <c r="A477" s="9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ht="15.75" customHeight="1">
      <c r="A478" s="9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ht="15.75" customHeight="1">
      <c r="A479" s="9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ht="15.75" customHeight="1">
      <c r="A480" s="9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ht="15.75" customHeight="1">
      <c r="A481" s="9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ht="15.75" customHeight="1">
      <c r="A482" s="9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ht="15.75" customHeight="1">
      <c r="A483" s="9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ht="15.75" customHeight="1">
      <c r="A484" s="9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ht="15.75" customHeight="1">
      <c r="A485" s="9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ht="15.75" customHeight="1">
      <c r="A486" s="9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ht="15.75" customHeight="1">
      <c r="A487" s="9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ht="15.75" customHeight="1">
      <c r="A488" s="9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ht="15.75" customHeight="1">
      <c r="A489" s="9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ht="15.75" customHeight="1">
      <c r="A490" s="9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ht="15.75" customHeight="1">
      <c r="A491" s="9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ht="15.75" customHeight="1">
      <c r="A492" s="9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ht="15.75" customHeight="1">
      <c r="A493" s="9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ht="15.75" customHeight="1">
      <c r="A494" s="9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ht="15.75" customHeight="1">
      <c r="A495" s="9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ht="15.75" customHeight="1">
      <c r="A496" s="9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ht="15.75" customHeight="1">
      <c r="A497" s="9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ht="15.75" customHeight="1">
      <c r="A498" s="9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ht="15.75" customHeight="1">
      <c r="A499" s="9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ht="15.75" customHeight="1">
      <c r="A500" s="9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ht="15.75" customHeight="1">
      <c r="A501" s="9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ht="15.75" customHeight="1">
      <c r="A502" s="9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ht="15.75" customHeight="1">
      <c r="A503" s="9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ht="15.75" customHeight="1">
      <c r="A504" s="9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ht="15.75" customHeight="1">
      <c r="A505" s="9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ht="15.75" customHeight="1">
      <c r="A506" s="9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ht="15.75" customHeight="1">
      <c r="A507" s="9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ht="15.75" customHeight="1">
      <c r="A508" s="9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ht="15.75" customHeight="1">
      <c r="A509" s="9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ht="15.75" customHeight="1">
      <c r="A510" s="9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ht="15.75" customHeight="1">
      <c r="A511" s="9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ht="15.75" customHeight="1">
      <c r="A512" s="9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ht="15.75" customHeight="1">
      <c r="A513" s="9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ht="15.75" customHeight="1">
      <c r="A514" s="9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ht="15.75" customHeight="1">
      <c r="A515" s="9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ht="15.75" customHeight="1">
      <c r="A516" s="9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ht="15.75" customHeight="1">
      <c r="A517" s="9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ht="15.75" customHeight="1">
      <c r="A518" s="9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ht="15.75" customHeight="1">
      <c r="A519" s="9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ht="15.75" customHeight="1">
      <c r="A520" s="9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ht="15.75" customHeight="1">
      <c r="A521" s="9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ht="15.75" customHeight="1">
      <c r="A522" s="9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ht="15.75" customHeight="1">
      <c r="A523" s="9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ht="15.75" customHeight="1">
      <c r="A524" s="9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ht="15.75" customHeight="1">
      <c r="A525" s="9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ht="15.75" customHeight="1">
      <c r="A526" s="9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ht="15.75" customHeight="1">
      <c r="A527" s="9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ht="15.75" customHeight="1">
      <c r="A528" s="9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ht="15.75" customHeight="1">
      <c r="A529" s="9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ht="15.75" customHeight="1">
      <c r="A530" s="9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ht="15.75" customHeight="1">
      <c r="A531" s="9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ht="15.75" customHeight="1">
      <c r="A532" s="9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ht="15.75" customHeight="1">
      <c r="A533" s="9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ht="15.75" customHeight="1">
      <c r="A534" s="9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ht="15.75" customHeight="1">
      <c r="A535" s="9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ht="15.75" customHeight="1">
      <c r="A536" s="9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ht="15.75" customHeight="1">
      <c r="A537" s="9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ht="15.75" customHeight="1">
      <c r="A538" s="9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ht="15.75" customHeight="1">
      <c r="A539" s="9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ht="15.75" customHeight="1">
      <c r="A540" s="9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ht="15.75" customHeight="1">
      <c r="A541" s="9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ht="15.75" customHeight="1">
      <c r="A542" s="9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ht="15.75" customHeight="1">
      <c r="A543" s="9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ht="15.75" customHeight="1">
      <c r="A544" s="9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ht="15.75" customHeight="1">
      <c r="A545" s="9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ht="15.75" customHeight="1">
      <c r="A546" s="9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ht="15.75" customHeight="1">
      <c r="A547" s="9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ht="15.75" customHeight="1">
      <c r="A548" s="9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ht="15.75" customHeight="1">
      <c r="A549" s="9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ht="15.75" customHeight="1">
      <c r="A550" s="9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ht="15.75" customHeight="1">
      <c r="A551" s="9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ht="15.75" customHeight="1">
      <c r="A552" s="9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ht="15.75" customHeight="1">
      <c r="A553" s="9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ht="15.75" customHeight="1">
      <c r="A554" s="9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ht="15.75" customHeight="1">
      <c r="A555" s="9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ht="15.75" customHeight="1">
      <c r="A556" s="9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ht="15.75" customHeight="1">
      <c r="A557" s="9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ht="15.75" customHeight="1">
      <c r="A558" s="9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ht="15.75" customHeight="1">
      <c r="A559" s="9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ht="15.75" customHeight="1">
      <c r="A560" s="9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ht="15.75" customHeight="1">
      <c r="A561" s="9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ht="15.75" customHeight="1">
      <c r="A562" s="9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ht="15.75" customHeight="1">
      <c r="A563" s="9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ht="15.75" customHeight="1">
      <c r="A564" s="9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ht="15.75" customHeight="1">
      <c r="A565" s="9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ht="15.75" customHeight="1">
      <c r="A566" s="9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ht="15.75" customHeight="1">
      <c r="A567" s="9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ht="15.75" customHeight="1">
      <c r="A568" s="9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ht="15.75" customHeight="1">
      <c r="A569" s="9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ht="15.75" customHeight="1">
      <c r="A570" s="9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ht="15.75" customHeight="1">
      <c r="A571" s="9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ht="15.75" customHeight="1">
      <c r="A572" s="9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ht="15.75" customHeight="1">
      <c r="A573" s="9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ht="15.75" customHeight="1">
      <c r="A574" s="9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ht="15.75" customHeight="1">
      <c r="A575" s="9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ht="15.75" customHeight="1">
      <c r="A576" s="9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ht="15.75" customHeight="1">
      <c r="A577" s="9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ht="15.75" customHeight="1">
      <c r="A578" s="9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ht="15.75" customHeight="1">
      <c r="A579" s="9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ht="15.75" customHeight="1">
      <c r="A580" s="9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ht="15.75" customHeight="1">
      <c r="A581" s="9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ht="15.75" customHeight="1">
      <c r="A582" s="9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ht="15.75" customHeight="1">
      <c r="A583" s="9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ht="15.75" customHeight="1">
      <c r="A584" s="9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ht="15.75" customHeight="1">
      <c r="A585" s="9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ht="15.75" customHeight="1">
      <c r="A586" s="9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ht="15.75" customHeight="1">
      <c r="A587" s="9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ht="15.75" customHeight="1">
      <c r="A588" s="9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ht="15.75" customHeight="1">
      <c r="A589" s="9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ht="15.75" customHeight="1">
      <c r="A590" s="9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ht="15.75" customHeight="1">
      <c r="A591" s="9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ht="15.75" customHeight="1">
      <c r="A592" s="9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ht="15.75" customHeight="1">
      <c r="A593" s="9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ht="15.75" customHeight="1">
      <c r="A594" s="9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ht="15.75" customHeight="1">
      <c r="A595" s="9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ht="15.75" customHeight="1">
      <c r="A596" s="9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ht="15.75" customHeight="1">
      <c r="A597" s="9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ht="15.75" customHeight="1">
      <c r="A598" s="9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ht="15.75" customHeight="1">
      <c r="A599" s="9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ht="15.75" customHeight="1">
      <c r="A600" s="9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ht="15.75" customHeight="1">
      <c r="A601" s="9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ht="15.75" customHeight="1">
      <c r="A602" s="9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ht="15.75" customHeight="1">
      <c r="A603" s="9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ht="15.75" customHeight="1">
      <c r="A604" s="9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ht="15.75" customHeight="1">
      <c r="A605" s="9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ht="15.75" customHeight="1">
      <c r="A606" s="9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ht="15.75" customHeight="1">
      <c r="A607" s="9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ht="15.75" customHeight="1">
      <c r="A608" s="9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ht="15.75" customHeight="1">
      <c r="A609" s="9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ht="15.75" customHeight="1">
      <c r="A610" s="9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ht="15.75" customHeight="1">
      <c r="A611" s="9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ht="15.75" customHeight="1">
      <c r="A612" s="9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ht="15.75" customHeight="1">
      <c r="A613" s="9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ht="15.75" customHeight="1">
      <c r="A614" s="9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ht="15.75" customHeight="1">
      <c r="A615" s="9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ht="15.75" customHeight="1">
      <c r="A616" s="9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ht="15.75" customHeight="1">
      <c r="A617" s="9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ht="15.75" customHeight="1">
      <c r="A618" s="9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ht="15.75" customHeight="1">
      <c r="A619" s="9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ht="15.75" customHeight="1">
      <c r="A620" s="9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ht="15.75" customHeight="1">
      <c r="A621" s="9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ht="15.75" customHeight="1">
      <c r="A622" s="9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ht="15.75" customHeight="1">
      <c r="A623" s="9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ht="15.75" customHeight="1">
      <c r="A624" s="9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ht="15.75" customHeight="1">
      <c r="A625" s="9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ht="15.75" customHeight="1">
      <c r="A626" s="9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ht="15.75" customHeight="1">
      <c r="A627" s="9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ht="15.75" customHeight="1">
      <c r="A628" s="9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ht="15.75" customHeight="1">
      <c r="A629" s="9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ht="15.75" customHeight="1">
      <c r="A630" s="9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ht="15.75" customHeight="1">
      <c r="A631" s="9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ht="15.75" customHeight="1">
      <c r="A632" s="9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ht="15.75" customHeight="1">
      <c r="A633" s="9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ht="15.75" customHeight="1">
      <c r="A634" s="9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ht="15.75" customHeight="1">
      <c r="A635" s="9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ht="15.75" customHeight="1">
      <c r="A636" s="9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ht="15.75" customHeight="1">
      <c r="A637" s="9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ht="15.75" customHeight="1">
      <c r="A638" s="9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ht="15.75" customHeight="1">
      <c r="A639" s="9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ht="15.75" customHeight="1">
      <c r="A640" s="9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ht="15.75" customHeight="1">
      <c r="A641" s="9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ht="15.75" customHeight="1">
      <c r="A642" s="9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ht="15.75" customHeight="1">
      <c r="A643" s="9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ht="15.75" customHeight="1">
      <c r="A644" s="9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ht="15.75" customHeight="1">
      <c r="A645" s="9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ht="15.75" customHeight="1">
      <c r="A646" s="9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ht="15.75" customHeight="1">
      <c r="A647" s="9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ht="15.75" customHeight="1">
      <c r="A648" s="9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ht="15.75" customHeight="1">
      <c r="A649" s="9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ht="15.75" customHeight="1">
      <c r="A650" s="9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ht="15.75" customHeight="1">
      <c r="A651" s="9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ht="15.75" customHeight="1">
      <c r="A652" s="9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ht="15.75" customHeight="1">
      <c r="A653" s="9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ht="15.75" customHeight="1">
      <c r="A654" s="9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ht="15.75" customHeight="1">
      <c r="A655" s="9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ht="15.75" customHeight="1">
      <c r="A656" s="9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ht="15.75" customHeight="1">
      <c r="A657" s="9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ht="15.75" customHeight="1">
      <c r="A658" s="9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ht="15.75" customHeight="1">
      <c r="A659" s="9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ht="15.75" customHeight="1">
      <c r="A660" s="9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ht="15.75" customHeight="1">
      <c r="A661" s="9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ht="15.75" customHeight="1">
      <c r="A662" s="9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ht="15.75" customHeight="1">
      <c r="A663" s="9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ht="15.75" customHeight="1">
      <c r="A664" s="9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ht="15.75" customHeight="1">
      <c r="A665" s="9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ht="15.75" customHeight="1">
      <c r="A666" s="9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ht="15.75" customHeight="1">
      <c r="A667" s="9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ht="15.75" customHeight="1">
      <c r="A668" s="9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ht="15.75" customHeight="1">
      <c r="A669" s="9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ht="15.75" customHeight="1">
      <c r="A670" s="9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ht="15.75" customHeight="1">
      <c r="A671" s="9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ht="15.75" customHeight="1">
      <c r="A672" s="9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ht="15.75" customHeight="1">
      <c r="A673" s="9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ht="15.75" customHeight="1">
      <c r="A674" s="9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ht="15.75" customHeight="1">
      <c r="A675" s="9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ht="15.75" customHeight="1">
      <c r="A676" s="9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ht="15.75" customHeight="1">
      <c r="A677" s="9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ht="15.75" customHeight="1">
      <c r="A678" s="9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ht="15.75" customHeight="1">
      <c r="A679" s="9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ht="15.75" customHeight="1">
      <c r="A680" s="9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ht="15.75" customHeight="1">
      <c r="A681" s="9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ht="15.75" customHeight="1">
      <c r="A682" s="9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ht="15.75" customHeight="1">
      <c r="A683" s="9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ht="15.75" customHeight="1">
      <c r="A684" s="9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ht="15.75" customHeight="1">
      <c r="A685" s="9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ht="15.75" customHeight="1">
      <c r="A686" s="9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ht="15.75" customHeight="1">
      <c r="A687" s="9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ht="15.75" customHeight="1">
      <c r="A688" s="9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ht="15.75" customHeight="1">
      <c r="A689" s="9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ht="15.75" customHeight="1">
      <c r="A690" s="9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ht="15.75" customHeight="1">
      <c r="A691" s="9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ht="15.75" customHeight="1">
      <c r="A692" s="9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ht="15.75" customHeight="1">
      <c r="A693" s="9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ht="15.75" customHeight="1">
      <c r="A694" s="9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ht="15.75" customHeight="1">
      <c r="A695" s="9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ht="15.75" customHeight="1">
      <c r="A696" s="9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ht="15.75" customHeight="1">
      <c r="A697" s="9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ht="15.75" customHeight="1">
      <c r="A698" s="9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ht="15.75" customHeight="1">
      <c r="A699" s="9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ht="15.75" customHeight="1">
      <c r="A700" s="9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ht="15.75" customHeight="1">
      <c r="A701" s="9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ht="15.75" customHeight="1">
      <c r="A702" s="9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ht="15.75" customHeight="1">
      <c r="A703" s="9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ht="15.75" customHeight="1">
      <c r="A704" s="9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ht="15.75" customHeight="1">
      <c r="A705" s="9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ht="15.75" customHeight="1">
      <c r="A706" s="9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ht="15.75" customHeight="1">
      <c r="A707" s="9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ht="15.75" customHeight="1">
      <c r="A708" s="9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ht="15.75" customHeight="1">
      <c r="A709" s="9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ht="15.75" customHeight="1">
      <c r="A710" s="9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ht="15.75" customHeight="1">
      <c r="A711" s="9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ht="15.75" customHeight="1">
      <c r="A712" s="9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ht="15.75" customHeight="1">
      <c r="A713" s="9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ht="15.75" customHeight="1">
      <c r="A714" s="9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ht="15.75" customHeight="1">
      <c r="A715" s="9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ht="15.75" customHeight="1">
      <c r="A716" s="9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ht="15.75" customHeight="1">
      <c r="A717" s="9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ht="15.75" customHeight="1">
      <c r="A718" s="9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ht="15.75" customHeight="1">
      <c r="A719" s="9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ht="15.75" customHeight="1">
      <c r="A720" s="9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ht="15.75" customHeight="1">
      <c r="A721" s="9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ht="15.75" customHeight="1">
      <c r="A722" s="9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ht="15.75" customHeight="1">
      <c r="A723" s="9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ht="15.75" customHeight="1">
      <c r="A724" s="9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ht="15.75" customHeight="1">
      <c r="A725" s="9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ht="15.75" customHeight="1">
      <c r="A726" s="9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ht="15.75" customHeight="1">
      <c r="A727" s="9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ht="15.75" customHeight="1">
      <c r="A728" s="9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ht="15.75" customHeight="1">
      <c r="A729" s="9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ht="15.75" customHeight="1">
      <c r="A730" s="9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ht="15.75" customHeight="1">
      <c r="A731" s="9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ht="15.75" customHeight="1">
      <c r="A732" s="9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ht="15.75" customHeight="1">
      <c r="A733" s="9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ht="15.75" customHeight="1">
      <c r="A734" s="9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ht="15.75" customHeight="1">
      <c r="A735" s="9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ht="15.75" customHeight="1">
      <c r="A736" s="9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ht="15.75" customHeight="1">
      <c r="A737" s="9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ht="15.75" customHeight="1">
      <c r="A738" s="9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ht="15.75" customHeight="1">
      <c r="A739" s="9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ht="15.75" customHeight="1">
      <c r="A740" s="9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ht="15.75" customHeight="1">
      <c r="A741" s="9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ht="15.75" customHeight="1">
      <c r="A742" s="9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ht="15.75" customHeight="1">
      <c r="A743" s="9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ht="15.75" customHeight="1">
      <c r="A744" s="9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ht="15.75" customHeight="1">
      <c r="A745" s="9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ht="15.75" customHeight="1">
      <c r="A746" s="9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ht="15.75" customHeight="1">
      <c r="A747" s="9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ht="15.75" customHeight="1">
      <c r="A748" s="9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ht="15.75" customHeight="1">
      <c r="A749" s="9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ht="15.75" customHeight="1">
      <c r="A750" s="9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ht="15.75" customHeight="1">
      <c r="A751" s="9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ht="15.75" customHeight="1">
      <c r="A752" s="9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ht="15.75" customHeight="1">
      <c r="A753" s="9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ht="15.75" customHeight="1">
      <c r="A754" s="9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ht="15.75" customHeight="1">
      <c r="A755" s="9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ht="15.75" customHeight="1">
      <c r="A756" s="9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ht="15.75" customHeight="1">
      <c r="A757" s="9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ht="15.75" customHeight="1">
      <c r="A758" s="9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ht="15.75" customHeight="1">
      <c r="A759" s="9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ht="15.75" customHeight="1">
      <c r="A760" s="9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ht="15.75" customHeight="1">
      <c r="A761" s="9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ht="15.75" customHeight="1">
      <c r="A762" s="9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ht="15.75" customHeight="1">
      <c r="A763" s="9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ht="15.75" customHeight="1">
      <c r="A764" s="9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ht="15.75" customHeight="1">
      <c r="A765" s="9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ht="15.75" customHeight="1">
      <c r="A766" s="9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ht="15.75" customHeight="1">
      <c r="A767" s="9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ht="15.75" customHeight="1">
      <c r="A768" s="9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ht="15.75" customHeight="1">
      <c r="A769" s="9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ht="15.75" customHeight="1">
      <c r="A770" s="9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ht="15.75" customHeight="1">
      <c r="A771" s="9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ht="15.75" customHeight="1">
      <c r="A772" s="9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ht="15.75" customHeight="1">
      <c r="A773" s="9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ht="15.75" customHeight="1">
      <c r="A774" s="9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ht="15.75" customHeight="1">
      <c r="A775" s="9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ht="15.75" customHeight="1">
      <c r="A776" s="9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ht="15.75" customHeight="1">
      <c r="A777" s="9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ht="15.75" customHeight="1">
      <c r="A778" s="9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ht="15.75" customHeight="1">
      <c r="A779" s="9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ht="15.75" customHeight="1">
      <c r="A780" s="9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ht="15.75" customHeight="1">
      <c r="A781" s="9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ht="15.75" customHeight="1">
      <c r="A782" s="9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ht="15.75" customHeight="1">
      <c r="A783" s="9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ht="15.75" customHeight="1">
      <c r="A784" s="9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ht="15.75" customHeight="1">
      <c r="A785" s="9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ht="15.75" customHeight="1">
      <c r="A786" s="9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ht="15.75" customHeight="1">
      <c r="A787" s="9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ht="15.75" customHeight="1">
      <c r="A788" s="9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ht="15.75" customHeight="1">
      <c r="A789" s="9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ht="15.75" customHeight="1">
      <c r="A790" s="9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ht="15.75" customHeight="1">
      <c r="A791" s="9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ht="15.75" customHeight="1">
      <c r="A792" s="9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ht="15.75" customHeight="1">
      <c r="A793" s="9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ht="15.75" customHeight="1">
      <c r="A794" s="9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ht="15.75" customHeight="1">
      <c r="A795" s="9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ht="15.75" customHeight="1">
      <c r="A796" s="9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ht="15.75" customHeight="1">
      <c r="A797" s="9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ht="15.75" customHeight="1">
      <c r="A798" s="9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ht="15.75" customHeight="1">
      <c r="A799" s="9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ht="15.75" customHeight="1">
      <c r="A800" s="9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ht="15.75" customHeight="1">
      <c r="A801" s="9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ht="15.75" customHeight="1">
      <c r="A802" s="9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ht="15.75" customHeight="1">
      <c r="A803" s="9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ht="15.75" customHeight="1">
      <c r="A804" s="9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ht="15.75" customHeight="1">
      <c r="A805" s="9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ht="15.75" customHeight="1">
      <c r="A806" s="9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ht="15.75" customHeight="1">
      <c r="A807" s="9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ht="15.75" customHeight="1">
      <c r="A808" s="9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ht="15.75" customHeight="1">
      <c r="A809" s="9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ht="15.75" customHeight="1">
      <c r="A810" s="9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ht="15.75" customHeight="1">
      <c r="A811" s="9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ht="15.75" customHeight="1">
      <c r="A812" s="9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ht="15.75" customHeight="1">
      <c r="A813" s="9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ht="15.75" customHeight="1">
      <c r="A814" s="9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ht="15.75" customHeight="1">
      <c r="A815" s="9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ht="15.75" customHeight="1">
      <c r="A816" s="9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ht="15.75" customHeight="1">
      <c r="A817" s="9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ht="15.75" customHeight="1">
      <c r="A818" s="9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ht="15.75" customHeight="1">
      <c r="A819" s="9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ht="15.75" customHeight="1">
      <c r="A820" s="9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ht="15.75" customHeight="1">
      <c r="A821" s="9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ht="15.75" customHeight="1">
      <c r="A822" s="9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ht="15.75" customHeight="1">
      <c r="A823" s="9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ht="15.75" customHeight="1">
      <c r="A824" s="9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ht="15.75" customHeight="1">
      <c r="A825" s="9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ht="15.75" customHeight="1">
      <c r="A826" s="9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ht="15.75" customHeight="1">
      <c r="A827" s="9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ht="15.75" customHeight="1">
      <c r="A828" s="9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ht="15.75" customHeight="1">
      <c r="A829" s="9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ht="15.75" customHeight="1">
      <c r="A830" s="9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ht="15.75" customHeight="1">
      <c r="A831" s="9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ht="15.75" customHeight="1">
      <c r="A832" s="9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ht="15.75" customHeight="1">
      <c r="A833" s="9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ht="15.75" customHeight="1">
      <c r="A834" s="9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ht="15.75" customHeight="1">
      <c r="A835" s="9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ht="15.75" customHeight="1">
      <c r="A836" s="9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ht="15.75" customHeight="1">
      <c r="A837" s="9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ht="15.75" customHeight="1">
      <c r="A838" s="9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ht="15.75" customHeight="1">
      <c r="A839" s="9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ht="15.75" customHeight="1">
      <c r="A840" s="9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ht="15.75" customHeight="1">
      <c r="A841" s="9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ht="15.75" customHeight="1">
      <c r="A842" s="9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ht="15.75" customHeight="1">
      <c r="A843" s="9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ht="15.75" customHeight="1">
      <c r="A844" s="9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ht="15.75" customHeight="1">
      <c r="A845" s="9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ht="15.75" customHeight="1">
      <c r="A846" s="9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ht="15.75" customHeight="1">
      <c r="A847" s="9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ht="15.75" customHeight="1">
      <c r="A848" s="9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ht="15.75" customHeight="1">
      <c r="A849" s="9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ht="15.75" customHeight="1">
      <c r="A850" s="9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ht="15.75" customHeight="1">
      <c r="A851" s="9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ht="15.75" customHeight="1">
      <c r="A852" s="9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ht="15.75" customHeight="1">
      <c r="A853" s="9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ht="15.75" customHeight="1">
      <c r="A854" s="9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ht="15.75" customHeight="1">
      <c r="A855" s="9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ht="15.75" customHeight="1">
      <c r="A856" s="9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ht="15.75" customHeight="1">
      <c r="A857" s="9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ht="15.75" customHeight="1">
      <c r="A858" s="9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ht="15.75" customHeight="1">
      <c r="A859" s="9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ht="15.75" customHeight="1">
      <c r="A860" s="9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ht="15.75" customHeight="1">
      <c r="A861" s="9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ht="15.75" customHeight="1">
      <c r="A862" s="9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ht="15.75" customHeight="1">
      <c r="A863" s="9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ht="15.75" customHeight="1">
      <c r="A864" s="9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ht="15.75" customHeight="1">
      <c r="A865" s="9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ht="15.75" customHeight="1">
      <c r="A866" s="9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ht="15.75" customHeight="1">
      <c r="A867" s="9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ht="15.75" customHeight="1">
      <c r="A868" s="9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ht="15.75" customHeight="1">
      <c r="A869" s="9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ht="15.75" customHeight="1">
      <c r="A870" s="9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ht="15.75" customHeight="1">
      <c r="A871" s="9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ht="15.75" customHeight="1">
      <c r="A872" s="9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ht="15.75" customHeight="1">
      <c r="A873" s="9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ht="15.75" customHeight="1">
      <c r="A874" s="9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ht="15.75" customHeight="1">
      <c r="A875" s="9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ht="15.75" customHeight="1">
      <c r="A876" s="9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ht="15.75" customHeight="1">
      <c r="A877" s="9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ht="15.75" customHeight="1">
      <c r="A878" s="9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ht="15.75" customHeight="1">
      <c r="A879" s="9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ht="15.75" customHeight="1">
      <c r="A880" s="9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ht="15.75" customHeight="1">
      <c r="A881" s="9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ht="15.75" customHeight="1">
      <c r="A882" s="9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ht="15.75" customHeight="1">
      <c r="A883" s="9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ht="15.75" customHeight="1">
      <c r="A884" s="9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ht="15.75" customHeight="1">
      <c r="A885" s="9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ht="15.75" customHeight="1">
      <c r="A886" s="9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ht="15.75" customHeight="1">
      <c r="A887" s="9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ht="15.75" customHeight="1">
      <c r="A888" s="9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ht="15.75" customHeight="1">
      <c r="A889" s="9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ht="15.75" customHeight="1">
      <c r="A890" s="9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ht="15.75" customHeight="1">
      <c r="A891" s="9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ht="15.75" customHeight="1">
      <c r="A892" s="9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ht="15.75" customHeight="1">
      <c r="A893" s="9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ht="15.75" customHeight="1">
      <c r="A894" s="9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ht="15.75" customHeight="1">
      <c r="A895" s="9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ht="15.75" customHeight="1">
      <c r="A896" s="9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ht="15.75" customHeight="1">
      <c r="A897" s="9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ht="15.75" customHeight="1">
      <c r="A898" s="9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ht="15.75" customHeight="1">
      <c r="A899" s="9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ht="15.75" customHeight="1">
      <c r="A900" s="9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ht="15.75" customHeight="1">
      <c r="A901" s="9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ht="15.75" customHeight="1">
      <c r="A902" s="9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ht="15.75" customHeight="1">
      <c r="A903" s="9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ht="15.75" customHeight="1">
      <c r="A904" s="9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ht="15.75" customHeight="1">
      <c r="A905" s="9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ht="15.75" customHeight="1">
      <c r="A906" s="9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ht="15.75" customHeight="1">
      <c r="A907" s="9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ht="15.75" customHeight="1">
      <c r="A908" s="9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ht="15.75" customHeight="1">
      <c r="A909" s="9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ht="15.75" customHeight="1">
      <c r="A910" s="9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ht="15.75" customHeight="1">
      <c r="A911" s="9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ht="15.75" customHeight="1">
      <c r="A912" s="9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ht="15.75" customHeight="1">
      <c r="A913" s="9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ht="15.75" customHeight="1">
      <c r="A914" s="9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ht="15.75" customHeight="1">
      <c r="A915" s="9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ht="15.75" customHeight="1">
      <c r="A916" s="9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ht="15.75" customHeight="1">
      <c r="A917" s="9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ht="15.75" customHeight="1">
      <c r="A918" s="9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ht="15.75" customHeight="1">
      <c r="A919" s="9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ht="15.75" customHeight="1">
      <c r="A920" s="9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ht="15.75" customHeight="1">
      <c r="A921" s="9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ht="15.75" customHeight="1">
      <c r="A922" s="9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ht="15.75" customHeight="1">
      <c r="A923" s="9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ht="15.75" customHeight="1">
      <c r="A924" s="9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ht="15.75" customHeight="1">
      <c r="A925" s="9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ht="15.75" customHeight="1">
      <c r="A926" s="9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ht="15.75" customHeight="1">
      <c r="A927" s="9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ht="15.75" customHeight="1">
      <c r="A928" s="9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ht="15.75" customHeight="1">
      <c r="A929" s="9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ht="15.75" customHeight="1">
      <c r="A930" s="9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ht="15.75" customHeight="1">
      <c r="A931" s="9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ht="15.75" customHeight="1">
      <c r="A932" s="9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ht="15.75" customHeight="1">
      <c r="A933" s="9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ht="15.75" customHeight="1">
      <c r="A934" s="9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ht="15.75" customHeight="1">
      <c r="A935" s="9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ht="15.75" customHeight="1">
      <c r="A936" s="9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ht="15.75" customHeight="1">
      <c r="A937" s="9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ht="15.75" customHeight="1">
      <c r="A938" s="9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ht="15.75" customHeight="1">
      <c r="A939" s="9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ht="15.75" customHeight="1">
      <c r="A940" s="9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ht="15.75" customHeight="1">
      <c r="A941" s="9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ht="15.75" customHeight="1">
      <c r="A942" s="9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ht="15.75" customHeight="1">
      <c r="A943" s="9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ht="15.75" customHeight="1">
      <c r="A944" s="9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ht="15.75" customHeight="1">
      <c r="A945" s="9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ht="15.75" customHeight="1">
      <c r="A946" s="9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ht="15.75" customHeight="1">
      <c r="A947" s="9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ht="15.75" customHeight="1">
      <c r="A948" s="9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ht="15.75" customHeight="1">
      <c r="A949" s="9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ht="15.75" customHeight="1">
      <c r="A950" s="9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ht="15.75" customHeight="1">
      <c r="A951" s="9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ht="15.75" customHeight="1">
      <c r="A952" s="9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ht="15.75" customHeight="1">
      <c r="A953" s="9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ht="15.75" customHeight="1">
      <c r="A954" s="9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ht="15.75" customHeight="1">
      <c r="A955" s="9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ht="15.75" customHeight="1">
      <c r="A956" s="9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ht="15.75" customHeight="1">
      <c r="A957" s="9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ht="15.75" customHeight="1">
      <c r="A958" s="9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ht="15.75" customHeight="1">
      <c r="A959" s="9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ht="15.75" customHeight="1">
      <c r="A960" s="9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ht="15.75" customHeight="1">
      <c r="A961" s="9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ht="15.75" customHeight="1">
      <c r="A962" s="9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ht="15.75" customHeight="1">
      <c r="A963" s="9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ht="15.75" customHeight="1">
      <c r="A964" s="9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ht="15.75" customHeight="1">
      <c r="A965" s="9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ht="15.75" customHeight="1">
      <c r="A966" s="9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ht="15.75" customHeight="1">
      <c r="A967" s="9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ht="15.75" customHeight="1">
      <c r="A968" s="9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ht="15.75" customHeight="1">
      <c r="A969" s="9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ht="15.75" customHeight="1">
      <c r="A970" s="9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ht="15.75" customHeight="1">
      <c r="A971" s="9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ht="15.75" customHeight="1">
      <c r="A972" s="9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ht="15.75" customHeight="1">
      <c r="A973" s="9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ht="15.75" customHeight="1">
      <c r="A974" s="9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ht="15.75" customHeight="1">
      <c r="A975" s="9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ht="15.75" customHeight="1">
      <c r="A976" s="9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ht="15.75" customHeight="1">
      <c r="A977" s="9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ht="15.75" customHeight="1">
      <c r="A978" s="9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ht="15.75" customHeight="1">
      <c r="A979" s="9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ht="15.75" customHeight="1">
      <c r="A980" s="9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ht="15.75" customHeight="1">
      <c r="A981" s="9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ht="15.75" customHeight="1">
      <c r="A982" s="9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ht="15.75" customHeight="1">
      <c r="A983" s="9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ht="15.75" customHeight="1">
      <c r="A984" s="9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ht="15.75" customHeight="1">
      <c r="A985" s="9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ht="15.75" customHeight="1">
      <c r="A986" s="9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ht="15.75" customHeight="1">
      <c r="A987" s="9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ht="15.75" customHeight="1">
      <c r="A988" s="9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ht="15.75" customHeight="1">
      <c r="A989" s="9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ht="15.75" customHeight="1">
      <c r="A990" s="9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ht="15.75" customHeight="1">
      <c r="A991" s="9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ht="15.75" customHeight="1">
      <c r="A992" s="9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ht="15.75" customHeight="1">
      <c r="A993" s="9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ht="15.75" customHeight="1">
      <c r="A994" s="9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ht="15.75" customHeight="1">
      <c r="A995" s="9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ht="15.75" customHeight="1">
      <c r="A996" s="9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ht="15.75" customHeight="1">
      <c r="A997" s="9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ht="15.75" customHeight="1">
      <c r="A998" s="9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ht="15.75" customHeight="1">
      <c r="A999" s="9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ht="15.75" customHeight="1">
      <c r="A1000" s="9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  <row r="1001" ht="15.75" customHeight="1">
      <c r="A1001" s="9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</row>
  </sheetData>
  <mergeCells count="33">
    <mergeCell ref="R7:T9"/>
    <mergeCell ref="U7:X7"/>
    <mergeCell ref="U8:X8"/>
    <mergeCell ref="U9:X9"/>
    <mergeCell ref="Y7:AA7"/>
    <mergeCell ref="Y8:AA8"/>
    <mergeCell ref="J7:M9"/>
    <mergeCell ref="J10:M12"/>
    <mergeCell ref="A16:B16"/>
    <mergeCell ref="A18:A25"/>
    <mergeCell ref="B18:B21"/>
    <mergeCell ref="B22:B25"/>
    <mergeCell ref="N10:O12"/>
    <mergeCell ref="R10:T12"/>
    <mergeCell ref="R14:U14"/>
    <mergeCell ref="U10:X10"/>
    <mergeCell ref="Y10:AA10"/>
    <mergeCell ref="U11:X11"/>
    <mergeCell ref="Y11:AA11"/>
    <mergeCell ref="U12:X12"/>
    <mergeCell ref="Y12:AA12"/>
    <mergeCell ref="V14:X14"/>
    <mergeCell ref="Y14:Z14"/>
    <mergeCell ref="AE16:AI16"/>
    <mergeCell ref="AK16:AO16"/>
    <mergeCell ref="A1:AA6"/>
    <mergeCell ref="A7:B12"/>
    <mergeCell ref="C7:C12"/>
    <mergeCell ref="F7:G12"/>
    <mergeCell ref="H7:I12"/>
    <mergeCell ref="N7:O9"/>
    <mergeCell ref="Y9:AA9"/>
    <mergeCell ref="A17:AA1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4.13"/>
    <col customWidth="1" min="3" max="3" width="18.0"/>
    <col customWidth="1" min="4" max="27" width="7.5"/>
    <col customWidth="1" min="28" max="41" width="7.63"/>
  </cols>
  <sheetData>
    <row r="1" ht="15.0" customHeight="1">
      <c r="A1" s="95" t="s">
        <v>51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.0" customHeight="1"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15.0" customHeight="1"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15.0" customHeight="1"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ht="15.0" customHeight="1"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ht="15.0" customHeight="1"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ht="15.75" customHeight="1">
      <c r="A7" s="96" t="s">
        <v>1</v>
      </c>
      <c r="B7" s="4"/>
      <c r="C7" s="5">
        <v>120.0</v>
      </c>
      <c r="D7" s="6"/>
      <c r="E7" s="6"/>
      <c r="F7" s="227"/>
      <c r="G7" s="4"/>
      <c r="H7" s="7" t="s">
        <v>2</v>
      </c>
      <c r="I7" s="4"/>
      <c r="J7" s="228" t="s">
        <v>75</v>
      </c>
      <c r="K7" s="42"/>
      <c r="L7" s="42"/>
      <c r="M7" s="10"/>
      <c r="N7" s="229">
        <v>4040.0</v>
      </c>
      <c r="O7" s="10"/>
      <c r="P7" s="6"/>
      <c r="Q7" s="6"/>
      <c r="R7" s="14" t="s">
        <v>3</v>
      </c>
      <c r="S7" s="12"/>
      <c r="T7" s="4"/>
      <c r="U7" s="15" t="s">
        <v>4</v>
      </c>
      <c r="V7" s="16"/>
      <c r="W7" s="16"/>
      <c r="X7" s="17"/>
      <c r="Y7" s="18">
        <v>1400.0</v>
      </c>
      <c r="Z7" s="16"/>
      <c r="AA7" s="19"/>
      <c r="AB7" s="20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ht="15.75" customHeight="1">
      <c r="A8" s="21"/>
      <c r="B8" s="22"/>
      <c r="C8" s="23"/>
      <c r="D8" s="24"/>
      <c r="E8" s="24"/>
      <c r="F8" s="25"/>
      <c r="G8" s="22"/>
      <c r="H8" s="25"/>
      <c r="I8" s="22"/>
      <c r="J8" s="25"/>
      <c r="M8" s="22"/>
      <c r="N8" s="25"/>
      <c r="O8" s="22"/>
      <c r="P8" s="24"/>
      <c r="Q8" s="24"/>
      <c r="R8" s="25"/>
      <c r="T8" s="22"/>
      <c r="U8" s="30" t="s">
        <v>5</v>
      </c>
      <c r="V8" s="31"/>
      <c r="W8" s="31"/>
      <c r="X8" s="32"/>
      <c r="Y8" s="33">
        <v>970.0</v>
      </c>
      <c r="Z8" s="31"/>
      <c r="AA8" s="34"/>
      <c r="AB8" s="20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ht="15.75" customHeight="1">
      <c r="A9" s="21"/>
      <c r="B9" s="22"/>
      <c r="C9" s="23"/>
      <c r="D9" s="24"/>
      <c r="E9" s="24"/>
      <c r="F9" s="25"/>
      <c r="G9" s="22"/>
      <c r="H9" s="25"/>
      <c r="I9" s="22"/>
      <c r="J9" s="25"/>
      <c r="M9" s="22"/>
      <c r="N9" s="25"/>
      <c r="O9" s="22"/>
      <c r="P9" s="24"/>
      <c r="Q9" s="24"/>
      <c r="R9" s="37"/>
      <c r="S9" s="38"/>
      <c r="T9" s="39"/>
      <c r="U9" s="30" t="s">
        <v>6</v>
      </c>
      <c r="V9" s="31"/>
      <c r="W9" s="31"/>
      <c r="X9" s="32"/>
      <c r="Y9" s="33">
        <v>810.0</v>
      </c>
      <c r="Z9" s="31"/>
      <c r="AA9" s="34"/>
      <c r="AB9" s="20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ht="15.75" customHeight="1">
      <c r="A10" s="21"/>
      <c r="B10" s="22"/>
      <c r="C10" s="23"/>
      <c r="D10" s="24"/>
      <c r="E10" s="24"/>
      <c r="F10" s="25"/>
      <c r="G10" s="22"/>
      <c r="H10" s="25"/>
      <c r="I10" s="22"/>
      <c r="J10" s="37"/>
      <c r="K10" s="38"/>
      <c r="L10" s="38"/>
      <c r="M10" s="39"/>
      <c r="N10" s="37"/>
      <c r="O10" s="39"/>
      <c r="P10" s="24"/>
      <c r="Q10" s="24"/>
      <c r="R10" s="41" t="s">
        <v>7</v>
      </c>
      <c r="S10" s="42"/>
      <c r="T10" s="10"/>
      <c r="U10" s="43" t="s">
        <v>8</v>
      </c>
      <c r="V10" s="31"/>
      <c r="W10" s="31"/>
      <c r="X10" s="32"/>
      <c r="Y10" s="44">
        <v>1690.0</v>
      </c>
      <c r="Z10" s="31"/>
      <c r="AA10" s="34"/>
      <c r="AB10" s="20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ht="15.75" customHeight="1">
      <c r="A11" s="21"/>
      <c r="B11" s="22"/>
      <c r="C11" s="23"/>
      <c r="D11" s="45"/>
      <c r="E11" s="46"/>
      <c r="F11" s="25"/>
      <c r="G11" s="22"/>
      <c r="H11" s="25"/>
      <c r="I11" s="22"/>
      <c r="J11" s="228" t="s">
        <v>76</v>
      </c>
      <c r="K11" s="42"/>
      <c r="L11" s="42"/>
      <c r="M11" s="10"/>
      <c r="N11" s="229">
        <v>4160.0</v>
      </c>
      <c r="O11" s="10"/>
      <c r="P11" s="24"/>
      <c r="Q11" s="24"/>
      <c r="R11" s="25"/>
      <c r="T11" s="22"/>
      <c r="U11" s="43" t="s">
        <v>10</v>
      </c>
      <c r="V11" s="31"/>
      <c r="W11" s="31"/>
      <c r="X11" s="32"/>
      <c r="Y11" s="44">
        <v>1100.0</v>
      </c>
      <c r="Z11" s="31"/>
      <c r="AA11" s="34"/>
      <c r="AB11" s="20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ht="15.75" customHeight="1">
      <c r="A12" s="49"/>
      <c r="B12" s="39"/>
      <c r="C12" s="50"/>
      <c r="D12" s="45"/>
      <c r="E12" s="46"/>
      <c r="F12" s="37"/>
      <c r="G12" s="39"/>
      <c r="H12" s="25"/>
      <c r="I12" s="22"/>
      <c r="J12" s="25"/>
      <c r="M12" s="22"/>
      <c r="N12" s="25"/>
      <c r="O12" s="22"/>
      <c r="P12" s="24"/>
      <c r="Q12" s="24"/>
      <c r="R12" s="37"/>
      <c r="S12" s="38"/>
      <c r="T12" s="39"/>
      <c r="U12" s="43" t="s">
        <v>11</v>
      </c>
      <c r="V12" s="31"/>
      <c r="W12" s="31"/>
      <c r="X12" s="32"/>
      <c r="Y12" s="44">
        <v>890.0</v>
      </c>
      <c r="Z12" s="31"/>
      <c r="AA12" s="34"/>
      <c r="AB12" s="20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ht="15.75" customHeight="1">
      <c r="A13" s="230"/>
      <c r="B13" s="231"/>
      <c r="C13" s="232"/>
      <c r="D13" s="45"/>
      <c r="E13" s="46"/>
      <c r="F13" s="233"/>
      <c r="G13" s="234"/>
      <c r="H13" s="25"/>
      <c r="I13" s="22"/>
      <c r="J13" s="25"/>
      <c r="M13" s="22"/>
      <c r="N13" s="25"/>
      <c r="O13" s="22"/>
      <c r="P13" s="24"/>
      <c r="Q13" s="24"/>
      <c r="R13" s="235"/>
      <c r="S13" s="235"/>
      <c r="T13" s="235"/>
      <c r="U13" s="236"/>
      <c r="V13" s="236"/>
      <c r="W13" s="236"/>
      <c r="X13" s="236"/>
      <c r="Y13" s="237"/>
      <c r="Z13" s="237"/>
      <c r="AA13" s="238"/>
      <c r="AB13" s="20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ht="15.75" customHeight="1">
      <c r="A14" s="230"/>
      <c r="B14" s="231"/>
      <c r="C14" s="232"/>
      <c r="D14" s="45"/>
      <c r="E14" s="46"/>
      <c r="F14" s="233"/>
      <c r="G14" s="234"/>
      <c r="H14" s="37"/>
      <c r="I14" s="39"/>
      <c r="J14" s="37"/>
      <c r="K14" s="38"/>
      <c r="L14" s="38"/>
      <c r="M14" s="39"/>
      <c r="N14" s="37"/>
      <c r="O14" s="39"/>
      <c r="P14" s="24"/>
      <c r="Q14" s="24"/>
      <c r="R14" s="58" t="s">
        <v>12</v>
      </c>
      <c r="S14" s="31"/>
      <c r="T14" s="31"/>
      <c r="U14" s="32"/>
      <c r="V14" s="215" t="s">
        <v>13</v>
      </c>
      <c r="W14" s="31"/>
      <c r="X14" s="32"/>
      <c r="Y14" s="216" t="s">
        <v>14</v>
      </c>
      <c r="Z14" s="32"/>
      <c r="AA14" s="238"/>
      <c r="AB14" s="20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ht="15.0" customHeight="1">
      <c r="A15" s="51"/>
      <c r="B15" s="24"/>
      <c r="C15" s="24"/>
      <c r="D15" s="24"/>
      <c r="E15" s="24"/>
      <c r="F15" s="24"/>
      <c r="G15" s="24"/>
      <c r="H15" s="24"/>
      <c r="I15" s="24"/>
      <c r="J15" s="6"/>
      <c r="K15" s="6"/>
      <c r="L15" s="6"/>
      <c r="M15" s="6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53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ht="19.5" customHeight="1">
      <c r="A16" s="51"/>
      <c r="B16" s="24"/>
      <c r="C16" s="24"/>
      <c r="D16" s="61">
        <v>0.45</v>
      </c>
      <c r="E16" s="61">
        <v>0.65</v>
      </c>
      <c r="F16" s="61">
        <v>0.85</v>
      </c>
      <c r="G16" s="24"/>
      <c r="H16" s="62"/>
      <c r="I16" s="63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53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ht="21.75" customHeight="1">
      <c r="A17" s="239" t="s">
        <v>15</v>
      </c>
      <c r="B17" s="32"/>
      <c r="C17" s="240" t="s">
        <v>16</v>
      </c>
      <c r="D17" s="240" t="s">
        <v>17</v>
      </c>
      <c r="E17" s="240" t="s">
        <v>18</v>
      </c>
      <c r="F17" s="240" t="s">
        <v>19</v>
      </c>
      <c r="G17" s="240" t="s">
        <v>20</v>
      </c>
      <c r="H17" s="240" t="s">
        <v>21</v>
      </c>
      <c r="I17" s="240" t="s">
        <v>22</v>
      </c>
      <c r="J17" s="240" t="s">
        <v>23</v>
      </c>
      <c r="K17" s="240" t="s">
        <v>24</v>
      </c>
      <c r="L17" s="240" t="s">
        <v>25</v>
      </c>
      <c r="M17" s="240" t="s">
        <v>26</v>
      </c>
      <c r="N17" s="240" t="s">
        <v>27</v>
      </c>
      <c r="O17" s="240" t="s">
        <v>28</v>
      </c>
      <c r="P17" s="240" t="s">
        <v>29</v>
      </c>
      <c r="Q17" s="240" t="s">
        <v>30</v>
      </c>
      <c r="R17" s="240" t="s">
        <v>31</v>
      </c>
      <c r="S17" s="240" t="s">
        <v>32</v>
      </c>
      <c r="T17" s="240" t="s">
        <v>33</v>
      </c>
      <c r="U17" s="240" t="s">
        <v>34</v>
      </c>
      <c r="V17" s="240" t="s">
        <v>35</v>
      </c>
      <c r="W17" s="240" t="s">
        <v>36</v>
      </c>
      <c r="X17" s="240" t="s">
        <v>37</v>
      </c>
      <c r="Y17" s="240" t="s">
        <v>38</v>
      </c>
      <c r="Z17" s="240" t="s">
        <v>39</v>
      </c>
      <c r="AA17" s="241" t="s">
        <v>40</v>
      </c>
      <c r="AB17" s="67"/>
      <c r="AC17" s="67"/>
      <c r="AD17" s="67"/>
      <c r="AE17" s="68" t="s">
        <v>41</v>
      </c>
      <c r="AF17" s="69"/>
      <c r="AG17" s="69"/>
      <c r="AH17" s="69"/>
      <c r="AI17" s="69"/>
      <c r="AJ17" s="70"/>
      <c r="AK17" s="68" t="s">
        <v>42</v>
      </c>
      <c r="AL17" s="69"/>
      <c r="AM17" s="69"/>
      <c r="AN17" s="69"/>
      <c r="AO17" s="69"/>
    </row>
    <row r="18" ht="4.5" customHeight="1">
      <c r="A18" s="7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ht="21.0" customHeight="1">
      <c r="A19" s="242" t="s">
        <v>77</v>
      </c>
      <c r="B19" s="10"/>
      <c r="C19" s="243" t="s">
        <v>4</v>
      </c>
      <c r="D19" s="244" t="s">
        <v>60</v>
      </c>
      <c r="E19" s="244" t="s">
        <v>60</v>
      </c>
      <c r="F19" s="244" t="s">
        <v>60</v>
      </c>
      <c r="G19" s="244" t="s">
        <v>60</v>
      </c>
      <c r="H19" s="244" t="s">
        <v>60</v>
      </c>
      <c r="I19" s="244" t="s">
        <v>60</v>
      </c>
      <c r="J19" s="244" t="s">
        <v>60</v>
      </c>
      <c r="K19" s="244" t="s">
        <v>60</v>
      </c>
      <c r="L19" s="244" t="s">
        <v>60</v>
      </c>
      <c r="M19" s="244" t="s">
        <v>60</v>
      </c>
      <c r="N19" s="244" t="s">
        <v>60</v>
      </c>
      <c r="O19" s="244" t="s">
        <v>60</v>
      </c>
      <c r="P19" s="244" t="s">
        <v>60</v>
      </c>
      <c r="Q19" s="244" t="s">
        <v>60</v>
      </c>
      <c r="R19" s="244" t="s">
        <v>60</v>
      </c>
      <c r="S19" s="245">
        <v>9760.0</v>
      </c>
      <c r="T19" s="244" t="s">
        <v>60</v>
      </c>
      <c r="U19" s="244" t="s">
        <v>60</v>
      </c>
      <c r="V19" s="244" t="s">
        <v>60</v>
      </c>
      <c r="W19" s="244" t="s">
        <v>60</v>
      </c>
      <c r="X19" s="244" t="s">
        <v>60</v>
      </c>
      <c r="Y19" s="244" t="s">
        <v>60</v>
      </c>
      <c r="Z19" s="244" t="s">
        <v>60</v>
      </c>
      <c r="AA19" s="244" t="s">
        <v>60</v>
      </c>
      <c r="AB19" s="79"/>
      <c r="AC19" s="79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</row>
    <row r="20" ht="21.0" customHeight="1">
      <c r="A20" s="21"/>
      <c r="B20" s="22"/>
      <c r="C20" s="246" t="s">
        <v>45</v>
      </c>
      <c r="D20" s="247" t="s">
        <v>60</v>
      </c>
      <c r="E20" s="247" t="s">
        <v>60</v>
      </c>
      <c r="F20" s="247" t="s">
        <v>60</v>
      </c>
      <c r="G20" s="247" t="s">
        <v>60</v>
      </c>
      <c r="H20" s="247" t="s">
        <v>60</v>
      </c>
      <c r="I20" s="247" t="s">
        <v>60</v>
      </c>
      <c r="J20" s="247" t="s">
        <v>60</v>
      </c>
      <c r="K20" s="247" t="s">
        <v>60</v>
      </c>
      <c r="L20" s="247" t="s">
        <v>60</v>
      </c>
      <c r="M20" s="247" t="s">
        <v>60</v>
      </c>
      <c r="N20" s="247" t="s">
        <v>60</v>
      </c>
      <c r="O20" s="247" t="s">
        <v>60</v>
      </c>
      <c r="P20" s="247" t="s">
        <v>60</v>
      </c>
      <c r="Q20" s="247" t="s">
        <v>60</v>
      </c>
      <c r="R20" s="247" t="s">
        <v>60</v>
      </c>
      <c r="S20" s="248">
        <v>8040.0</v>
      </c>
      <c r="T20" s="247" t="s">
        <v>60</v>
      </c>
      <c r="U20" s="247" t="s">
        <v>60</v>
      </c>
      <c r="V20" s="247" t="s">
        <v>60</v>
      </c>
      <c r="W20" s="247" t="s">
        <v>60</v>
      </c>
      <c r="X20" s="247" t="s">
        <v>60</v>
      </c>
      <c r="Y20" s="247" t="s">
        <v>60</v>
      </c>
      <c r="Z20" s="247" t="s">
        <v>60</v>
      </c>
      <c r="AA20" s="247" t="s">
        <v>60</v>
      </c>
      <c r="AB20" s="79"/>
      <c r="AC20" s="79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</row>
    <row r="21" ht="21.0" customHeight="1">
      <c r="A21" s="21"/>
      <c r="B21" s="22"/>
      <c r="C21" s="249" t="s">
        <v>6</v>
      </c>
      <c r="D21" s="250" t="s">
        <v>60</v>
      </c>
      <c r="E21" s="250" t="s">
        <v>60</v>
      </c>
      <c r="F21" s="250" t="s">
        <v>60</v>
      </c>
      <c r="G21" s="250" t="s">
        <v>60</v>
      </c>
      <c r="H21" s="250" t="s">
        <v>60</v>
      </c>
      <c r="I21" s="250" t="s">
        <v>60</v>
      </c>
      <c r="J21" s="250" t="s">
        <v>60</v>
      </c>
      <c r="K21" s="250" t="s">
        <v>60</v>
      </c>
      <c r="L21" s="250" t="s">
        <v>60</v>
      </c>
      <c r="M21" s="250" t="s">
        <v>60</v>
      </c>
      <c r="N21" s="250" t="s">
        <v>60</v>
      </c>
      <c r="O21" s="250" t="s">
        <v>60</v>
      </c>
      <c r="P21" s="250" t="s">
        <v>60</v>
      </c>
      <c r="Q21" s="250" t="s">
        <v>60</v>
      </c>
      <c r="R21" s="250" t="s">
        <v>60</v>
      </c>
      <c r="S21" s="251">
        <v>7400.0</v>
      </c>
      <c r="T21" s="250" t="s">
        <v>60</v>
      </c>
      <c r="U21" s="250" t="s">
        <v>60</v>
      </c>
      <c r="V21" s="250" t="s">
        <v>60</v>
      </c>
      <c r="W21" s="250" t="s">
        <v>60</v>
      </c>
      <c r="X21" s="250" t="s">
        <v>60</v>
      </c>
      <c r="Y21" s="250" t="s">
        <v>60</v>
      </c>
      <c r="Z21" s="250" t="s">
        <v>60</v>
      </c>
      <c r="AA21" s="250" t="s">
        <v>60</v>
      </c>
      <c r="AB21" s="79"/>
      <c r="AC21" s="79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</row>
    <row r="22" ht="21.0" customHeight="1">
      <c r="A22" s="21"/>
      <c r="B22" s="22"/>
      <c r="C22" s="243" t="s">
        <v>8</v>
      </c>
      <c r="D22" s="244" t="s">
        <v>60</v>
      </c>
      <c r="E22" s="244" t="s">
        <v>60</v>
      </c>
      <c r="F22" s="244" t="s">
        <v>60</v>
      </c>
      <c r="G22" s="244" t="s">
        <v>60</v>
      </c>
      <c r="H22" s="244" t="s">
        <v>60</v>
      </c>
      <c r="I22" s="244" t="s">
        <v>60</v>
      </c>
      <c r="J22" s="244" t="s">
        <v>60</v>
      </c>
      <c r="K22" s="244" t="s">
        <v>60</v>
      </c>
      <c r="L22" s="244" t="s">
        <v>60</v>
      </c>
      <c r="M22" s="244" t="s">
        <v>60</v>
      </c>
      <c r="N22" s="244" t="s">
        <v>60</v>
      </c>
      <c r="O22" s="244" t="s">
        <v>60</v>
      </c>
      <c r="P22" s="244" t="s">
        <v>60</v>
      </c>
      <c r="Q22" s="244" t="s">
        <v>60</v>
      </c>
      <c r="R22" s="244" t="s">
        <v>60</v>
      </c>
      <c r="S22" s="245">
        <v>10920.0</v>
      </c>
      <c r="T22" s="244" t="s">
        <v>60</v>
      </c>
      <c r="U22" s="244" t="s">
        <v>60</v>
      </c>
      <c r="V22" s="244" t="s">
        <v>60</v>
      </c>
      <c r="W22" s="244" t="s">
        <v>60</v>
      </c>
      <c r="X22" s="244" t="s">
        <v>60</v>
      </c>
      <c r="Y22" s="244" t="s">
        <v>60</v>
      </c>
      <c r="Z22" s="244" t="s">
        <v>60</v>
      </c>
      <c r="AA22" s="244" t="s">
        <v>60</v>
      </c>
      <c r="AB22" s="79"/>
      <c r="AC22" s="79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</row>
    <row r="23" ht="21.0" customHeight="1">
      <c r="A23" s="21"/>
      <c r="B23" s="22"/>
      <c r="C23" s="246" t="s">
        <v>46</v>
      </c>
      <c r="D23" s="247" t="s">
        <v>60</v>
      </c>
      <c r="E23" s="247" t="s">
        <v>60</v>
      </c>
      <c r="F23" s="247" t="s">
        <v>60</v>
      </c>
      <c r="G23" s="247" t="s">
        <v>60</v>
      </c>
      <c r="H23" s="247" t="s">
        <v>60</v>
      </c>
      <c r="I23" s="247" t="s">
        <v>60</v>
      </c>
      <c r="J23" s="247" t="s">
        <v>60</v>
      </c>
      <c r="K23" s="247" t="s">
        <v>60</v>
      </c>
      <c r="L23" s="247" t="s">
        <v>60</v>
      </c>
      <c r="M23" s="247" t="s">
        <v>60</v>
      </c>
      <c r="N23" s="247" t="s">
        <v>60</v>
      </c>
      <c r="O23" s="247" t="s">
        <v>60</v>
      </c>
      <c r="P23" s="247" t="s">
        <v>60</v>
      </c>
      <c r="Q23" s="247" t="s">
        <v>60</v>
      </c>
      <c r="R23" s="247" t="s">
        <v>60</v>
      </c>
      <c r="S23" s="248">
        <v>8560.0</v>
      </c>
      <c r="T23" s="247" t="s">
        <v>60</v>
      </c>
      <c r="U23" s="247" t="s">
        <v>60</v>
      </c>
      <c r="V23" s="247" t="s">
        <v>60</v>
      </c>
      <c r="W23" s="247" t="s">
        <v>60</v>
      </c>
      <c r="X23" s="247" t="s">
        <v>60</v>
      </c>
      <c r="Y23" s="247" t="s">
        <v>60</v>
      </c>
      <c r="Z23" s="247" t="s">
        <v>60</v>
      </c>
      <c r="AA23" s="247" t="s">
        <v>60</v>
      </c>
      <c r="AB23" s="79"/>
      <c r="AC23" s="79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</row>
    <row r="24" ht="21.0" customHeight="1">
      <c r="A24" s="49"/>
      <c r="B24" s="39"/>
      <c r="C24" s="249" t="s">
        <v>11</v>
      </c>
      <c r="D24" s="250" t="s">
        <v>60</v>
      </c>
      <c r="E24" s="250" t="s">
        <v>60</v>
      </c>
      <c r="F24" s="250" t="s">
        <v>60</v>
      </c>
      <c r="G24" s="250" t="s">
        <v>60</v>
      </c>
      <c r="H24" s="250" t="s">
        <v>60</v>
      </c>
      <c r="I24" s="250" t="s">
        <v>60</v>
      </c>
      <c r="J24" s="250" t="s">
        <v>60</v>
      </c>
      <c r="K24" s="250" t="s">
        <v>60</v>
      </c>
      <c r="L24" s="250" t="s">
        <v>60</v>
      </c>
      <c r="M24" s="250" t="s">
        <v>60</v>
      </c>
      <c r="N24" s="250" t="s">
        <v>60</v>
      </c>
      <c r="O24" s="250" t="s">
        <v>60</v>
      </c>
      <c r="P24" s="250" t="s">
        <v>60</v>
      </c>
      <c r="Q24" s="250" t="s">
        <v>60</v>
      </c>
      <c r="R24" s="250" t="s">
        <v>60</v>
      </c>
      <c r="S24" s="251">
        <v>7720.0</v>
      </c>
      <c r="T24" s="250" t="s">
        <v>60</v>
      </c>
      <c r="U24" s="250" t="s">
        <v>60</v>
      </c>
      <c r="V24" s="250" t="s">
        <v>60</v>
      </c>
      <c r="W24" s="250" t="s">
        <v>60</v>
      </c>
      <c r="X24" s="250" t="s">
        <v>60</v>
      </c>
      <c r="Y24" s="250" t="s">
        <v>60</v>
      </c>
      <c r="Z24" s="250" t="s">
        <v>60</v>
      </c>
      <c r="AA24" s="250" t="s">
        <v>60</v>
      </c>
      <c r="AB24" s="79"/>
      <c r="AC24" s="79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</row>
    <row r="25" ht="21.0" customHeight="1">
      <c r="A25" s="242" t="s">
        <v>78</v>
      </c>
      <c r="B25" s="10"/>
      <c r="C25" s="243" t="s">
        <v>4</v>
      </c>
      <c r="D25" s="244" t="s">
        <v>60</v>
      </c>
      <c r="E25" s="244" t="s">
        <v>60</v>
      </c>
      <c r="F25" s="244" t="s">
        <v>60</v>
      </c>
      <c r="G25" s="244" t="s">
        <v>60</v>
      </c>
      <c r="H25" s="244" t="s">
        <v>60</v>
      </c>
      <c r="I25" s="244" t="s">
        <v>60</v>
      </c>
      <c r="J25" s="244" t="s">
        <v>60</v>
      </c>
      <c r="K25" s="244" t="s">
        <v>60</v>
      </c>
      <c r="L25" s="244" t="s">
        <v>60</v>
      </c>
      <c r="M25" s="244" t="s">
        <v>60</v>
      </c>
      <c r="N25" s="244" t="s">
        <v>60</v>
      </c>
      <c r="O25" s="244" t="s">
        <v>60</v>
      </c>
      <c r="P25" s="244" t="s">
        <v>60</v>
      </c>
      <c r="Q25" s="244" t="s">
        <v>60</v>
      </c>
      <c r="R25" s="244" t="s">
        <v>60</v>
      </c>
      <c r="S25" s="245">
        <v>9640.0</v>
      </c>
      <c r="T25" s="244" t="s">
        <v>60</v>
      </c>
      <c r="U25" s="244" t="s">
        <v>60</v>
      </c>
      <c r="V25" s="244" t="s">
        <v>60</v>
      </c>
      <c r="W25" s="244" t="s">
        <v>60</v>
      </c>
      <c r="X25" s="244" t="s">
        <v>60</v>
      </c>
      <c r="Y25" s="244" t="s">
        <v>60</v>
      </c>
      <c r="Z25" s="244" t="s">
        <v>60</v>
      </c>
      <c r="AA25" s="244" t="s">
        <v>60</v>
      </c>
      <c r="AB25" s="79"/>
      <c r="AC25" s="79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</row>
    <row r="26" ht="21.0" customHeight="1">
      <c r="A26" s="21"/>
      <c r="B26" s="22"/>
      <c r="C26" s="246" t="s">
        <v>45</v>
      </c>
      <c r="D26" s="247" t="s">
        <v>60</v>
      </c>
      <c r="E26" s="247" t="s">
        <v>60</v>
      </c>
      <c r="F26" s="247" t="s">
        <v>60</v>
      </c>
      <c r="G26" s="247" t="s">
        <v>60</v>
      </c>
      <c r="H26" s="247" t="s">
        <v>60</v>
      </c>
      <c r="I26" s="247" t="s">
        <v>60</v>
      </c>
      <c r="J26" s="247" t="s">
        <v>60</v>
      </c>
      <c r="K26" s="247" t="s">
        <v>60</v>
      </c>
      <c r="L26" s="247" t="s">
        <v>60</v>
      </c>
      <c r="M26" s="247" t="s">
        <v>60</v>
      </c>
      <c r="N26" s="247" t="s">
        <v>60</v>
      </c>
      <c r="O26" s="247" t="s">
        <v>60</v>
      </c>
      <c r="P26" s="247" t="s">
        <v>60</v>
      </c>
      <c r="Q26" s="247" t="s">
        <v>60</v>
      </c>
      <c r="R26" s="247" t="s">
        <v>60</v>
      </c>
      <c r="S26" s="248">
        <v>7920.0</v>
      </c>
      <c r="T26" s="247" t="s">
        <v>60</v>
      </c>
      <c r="U26" s="247" t="s">
        <v>60</v>
      </c>
      <c r="V26" s="247" t="s">
        <v>60</v>
      </c>
      <c r="W26" s="247" t="s">
        <v>60</v>
      </c>
      <c r="X26" s="247" t="s">
        <v>60</v>
      </c>
      <c r="Y26" s="247" t="s">
        <v>60</v>
      </c>
      <c r="Z26" s="247" t="s">
        <v>60</v>
      </c>
      <c r="AA26" s="247" t="s">
        <v>60</v>
      </c>
      <c r="AB26" s="79"/>
      <c r="AC26" s="79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</row>
    <row r="27" ht="21.0" customHeight="1">
      <c r="A27" s="21"/>
      <c r="B27" s="22"/>
      <c r="C27" s="249" t="s">
        <v>6</v>
      </c>
      <c r="D27" s="250" t="s">
        <v>60</v>
      </c>
      <c r="E27" s="250" t="s">
        <v>60</v>
      </c>
      <c r="F27" s="250" t="s">
        <v>60</v>
      </c>
      <c r="G27" s="250" t="s">
        <v>60</v>
      </c>
      <c r="H27" s="250" t="s">
        <v>60</v>
      </c>
      <c r="I27" s="250" t="s">
        <v>60</v>
      </c>
      <c r="J27" s="250" t="s">
        <v>60</v>
      </c>
      <c r="K27" s="250" t="s">
        <v>60</v>
      </c>
      <c r="L27" s="250" t="s">
        <v>60</v>
      </c>
      <c r="M27" s="250" t="s">
        <v>60</v>
      </c>
      <c r="N27" s="250" t="s">
        <v>60</v>
      </c>
      <c r="O27" s="250" t="s">
        <v>60</v>
      </c>
      <c r="P27" s="250" t="s">
        <v>60</v>
      </c>
      <c r="Q27" s="250" t="s">
        <v>60</v>
      </c>
      <c r="R27" s="250" t="s">
        <v>60</v>
      </c>
      <c r="S27" s="251">
        <v>7280.0</v>
      </c>
      <c r="T27" s="250" t="s">
        <v>60</v>
      </c>
      <c r="U27" s="250" t="s">
        <v>60</v>
      </c>
      <c r="V27" s="250" t="s">
        <v>60</v>
      </c>
      <c r="W27" s="250" t="s">
        <v>60</v>
      </c>
      <c r="X27" s="250" t="s">
        <v>60</v>
      </c>
      <c r="Y27" s="250" t="s">
        <v>60</v>
      </c>
      <c r="Z27" s="250" t="s">
        <v>60</v>
      </c>
      <c r="AA27" s="250" t="s">
        <v>60</v>
      </c>
      <c r="AB27" s="79"/>
      <c r="AC27" s="79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</row>
    <row r="28" ht="21.0" customHeight="1">
      <c r="A28" s="21"/>
      <c r="B28" s="22"/>
      <c r="C28" s="243" t="s">
        <v>8</v>
      </c>
      <c r="D28" s="244" t="s">
        <v>60</v>
      </c>
      <c r="E28" s="244" t="s">
        <v>60</v>
      </c>
      <c r="F28" s="244" t="s">
        <v>60</v>
      </c>
      <c r="G28" s="244" t="s">
        <v>60</v>
      </c>
      <c r="H28" s="244" t="s">
        <v>60</v>
      </c>
      <c r="I28" s="244" t="s">
        <v>60</v>
      </c>
      <c r="J28" s="244" t="s">
        <v>60</v>
      </c>
      <c r="K28" s="244" t="s">
        <v>60</v>
      </c>
      <c r="L28" s="244" t="s">
        <v>60</v>
      </c>
      <c r="M28" s="244" t="s">
        <v>60</v>
      </c>
      <c r="N28" s="244" t="s">
        <v>60</v>
      </c>
      <c r="O28" s="244" t="s">
        <v>60</v>
      </c>
      <c r="P28" s="244" t="s">
        <v>60</v>
      </c>
      <c r="Q28" s="244" t="s">
        <v>60</v>
      </c>
      <c r="R28" s="244" t="s">
        <v>60</v>
      </c>
      <c r="S28" s="245">
        <v>10800.0</v>
      </c>
      <c r="T28" s="244" t="s">
        <v>60</v>
      </c>
      <c r="U28" s="244" t="s">
        <v>60</v>
      </c>
      <c r="V28" s="244" t="s">
        <v>60</v>
      </c>
      <c r="W28" s="244" t="s">
        <v>60</v>
      </c>
      <c r="X28" s="244" t="s">
        <v>60</v>
      </c>
      <c r="Y28" s="244" t="s">
        <v>60</v>
      </c>
      <c r="Z28" s="244" t="s">
        <v>60</v>
      </c>
      <c r="AA28" s="244" t="s">
        <v>60</v>
      </c>
      <c r="AB28" s="79"/>
      <c r="AC28" s="79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</row>
    <row r="29" ht="21.0" customHeight="1">
      <c r="A29" s="21"/>
      <c r="B29" s="22"/>
      <c r="C29" s="246" t="s">
        <v>46</v>
      </c>
      <c r="D29" s="247" t="s">
        <v>60</v>
      </c>
      <c r="E29" s="247" t="s">
        <v>60</v>
      </c>
      <c r="F29" s="247" t="s">
        <v>60</v>
      </c>
      <c r="G29" s="247" t="s">
        <v>60</v>
      </c>
      <c r="H29" s="247" t="s">
        <v>60</v>
      </c>
      <c r="I29" s="247" t="s">
        <v>60</v>
      </c>
      <c r="J29" s="247" t="s">
        <v>60</v>
      </c>
      <c r="K29" s="247" t="s">
        <v>60</v>
      </c>
      <c r="L29" s="247" t="s">
        <v>60</v>
      </c>
      <c r="M29" s="247" t="s">
        <v>60</v>
      </c>
      <c r="N29" s="247" t="s">
        <v>60</v>
      </c>
      <c r="O29" s="247" t="s">
        <v>60</v>
      </c>
      <c r="P29" s="247" t="s">
        <v>60</v>
      </c>
      <c r="Q29" s="247" t="s">
        <v>60</v>
      </c>
      <c r="R29" s="247" t="s">
        <v>60</v>
      </c>
      <c r="S29" s="248">
        <v>8440.0</v>
      </c>
      <c r="T29" s="247" t="s">
        <v>60</v>
      </c>
      <c r="U29" s="247" t="s">
        <v>60</v>
      </c>
      <c r="V29" s="247" t="s">
        <v>60</v>
      </c>
      <c r="W29" s="247" t="s">
        <v>60</v>
      </c>
      <c r="X29" s="247" t="s">
        <v>60</v>
      </c>
      <c r="Y29" s="247" t="s">
        <v>60</v>
      </c>
      <c r="Z29" s="247" t="s">
        <v>60</v>
      </c>
      <c r="AA29" s="247" t="s">
        <v>60</v>
      </c>
      <c r="AB29" s="79"/>
      <c r="AC29" s="79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</row>
    <row r="30" ht="21.0" customHeight="1">
      <c r="A30" s="49"/>
      <c r="B30" s="39"/>
      <c r="C30" s="249" t="s">
        <v>11</v>
      </c>
      <c r="D30" s="250" t="s">
        <v>60</v>
      </c>
      <c r="E30" s="250" t="s">
        <v>60</v>
      </c>
      <c r="F30" s="250" t="s">
        <v>60</v>
      </c>
      <c r="G30" s="250" t="s">
        <v>60</v>
      </c>
      <c r="H30" s="250" t="s">
        <v>60</v>
      </c>
      <c r="I30" s="250" t="s">
        <v>60</v>
      </c>
      <c r="J30" s="250" t="s">
        <v>60</v>
      </c>
      <c r="K30" s="250" t="s">
        <v>60</v>
      </c>
      <c r="L30" s="250" t="s">
        <v>60</v>
      </c>
      <c r="M30" s="250" t="s">
        <v>60</v>
      </c>
      <c r="N30" s="250" t="s">
        <v>60</v>
      </c>
      <c r="O30" s="250" t="s">
        <v>60</v>
      </c>
      <c r="P30" s="250" t="s">
        <v>60</v>
      </c>
      <c r="Q30" s="250" t="s">
        <v>60</v>
      </c>
      <c r="R30" s="250" t="s">
        <v>60</v>
      </c>
      <c r="S30" s="251">
        <v>7600.0</v>
      </c>
      <c r="T30" s="250" t="s">
        <v>60</v>
      </c>
      <c r="U30" s="250" t="s">
        <v>60</v>
      </c>
      <c r="V30" s="250" t="s">
        <v>60</v>
      </c>
      <c r="W30" s="250" t="s">
        <v>60</v>
      </c>
      <c r="X30" s="250" t="s">
        <v>60</v>
      </c>
      <c r="Y30" s="250" t="s">
        <v>60</v>
      </c>
      <c r="Z30" s="250" t="s">
        <v>60</v>
      </c>
      <c r="AA30" s="250" t="s">
        <v>60</v>
      </c>
      <c r="AB30" s="79"/>
      <c r="AC30" s="79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</row>
    <row r="31" ht="15.0" customHeight="1">
      <c r="A31" s="9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ht="15.0" customHeight="1">
      <c r="A32" s="94" t="s">
        <v>49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ht="15.0" customHeight="1">
      <c r="A33" s="94" t="s">
        <v>50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ht="13.5" customHeight="1"/>
    <row r="35" ht="13.5" customHeight="1"/>
    <row r="36" ht="13.5" customHeight="1"/>
    <row r="37" ht="13.5" customHeight="1"/>
    <row r="38" ht="8.2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2">
    <mergeCell ref="N7:O10"/>
    <mergeCell ref="R10:T12"/>
    <mergeCell ref="AE17:AI17"/>
    <mergeCell ref="AK17:AO17"/>
    <mergeCell ref="A7:B12"/>
    <mergeCell ref="A17:B17"/>
    <mergeCell ref="A19:B24"/>
    <mergeCell ref="A25:B30"/>
    <mergeCell ref="A1:AA6"/>
    <mergeCell ref="C7:C12"/>
    <mergeCell ref="F7:G12"/>
    <mergeCell ref="H7:I14"/>
    <mergeCell ref="J7:M10"/>
    <mergeCell ref="Y9:AA9"/>
    <mergeCell ref="Y14:Z14"/>
    <mergeCell ref="A18:AA18"/>
    <mergeCell ref="R7:T9"/>
    <mergeCell ref="U7:X7"/>
    <mergeCell ref="U8:X8"/>
    <mergeCell ref="U9:X9"/>
    <mergeCell ref="Y7:AA7"/>
    <mergeCell ref="Y8:AA8"/>
    <mergeCell ref="U10:X10"/>
    <mergeCell ref="Y10:AA10"/>
    <mergeCell ref="J11:M14"/>
    <mergeCell ref="N11:O14"/>
    <mergeCell ref="U11:X11"/>
    <mergeCell ref="Y11:AA11"/>
    <mergeCell ref="U12:X12"/>
    <mergeCell ref="Y12:AA12"/>
    <mergeCell ref="R14:U14"/>
    <mergeCell ref="V14:X1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2022-11-22T04:54:50Z</dcterms:created>
  <dc:creator>flor bazan</dc:creator>
</cp:coreProperties>
</file>