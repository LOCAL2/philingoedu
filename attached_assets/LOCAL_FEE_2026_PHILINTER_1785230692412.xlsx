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RMITORY (1)" sheetId="1" r:id="rId4"/>
    <sheet state="visible" name="AZON - Condominium (1)" sheetId="2" r:id="rId5"/>
  </sheets>
  <definedNames/>
  <calcPr/>
  <extLst>
    <ext uri="GoogleSheetsCustomDataVersion2">
      <go:sheetsCustomData xmlns:go="http://customooxmlschemas.google.com/" r:id="rId6" roundtripDataChecksum="LglwN45pQhlkEKvhduAqsn0PB703HVZT2+NuEPlZHuY="/>
    </ext>
  </extLst>
</workbook>
</file>

<file path=xl/sharedStrings.xml><?xml version="1.0" encoding="utf-8"?>
<sst xmlns="http://schemas.openxmlformats.org/spreadsheetml/2006/main" count="136" uniqueCount="63">
  <si>
    <t>LOCAL FEE, 2025.11.26</t>
  </si>
  <si>
    <t>PARTICULAR</t>
  </si>
  <si>
    <t>1W</t>
  </si>
  <si>
    <t>2W</t>
  </si>
  <si>
    <t>3W</t>
  </si>
  <si>
    <t>4W</t>
  </si>
  <si>
    <t>5W</t>
  </si>
  <si>
    <t>6W</t>
  </si>
  <si>
    <t>7W</t>
  </si>
  <si>
    <t>8W</t>
  </si>
  <si>
    <t>9W</t>
  </si>
  <si>
    <t>10W</t>
  </si>
  <si>
    <t>11W</t>
  </si>
  <si>
    <t>12W</t>
  </si>
  <si>
    <t>13W</t>
  </si>
  <si>
    <t>14W</t>
  </si>
  <si>
    <t>15W</t>
  </si>
  <si>
    <t>16W</t>
  </si>
  <si>
    <t>17W</t>
  </si>
  <si>
    <t>18W</t>
  </si>
  <si>
    <t>19W</t>
  </si>
  <si>
    <t>20W</t>
  </si>
  <si>
    <t>21W</t>
  </si>
  <si>
    <t>22W</t>
  </si>
  <si>
    <t>23W</t>
  </si>
  <si>
    <t>24W</t>
  </si>
  <si>
    <t xml:space="preserve">Tuition </t>
  </si>
  <si>
    <t>Accommodatioin</t>
  </si>
  <si>
    <t>DORMITORY</t>
  </si>
  <si>
    <t>Special Study Permit (SSP)</t>
  </si>
  <si>
    <t>SSP ACR I-CARD</t>
  </si>
  <si>
    <t>TOURIST ACR I- CARD</t>
  </si>
  <si>
    <t>-</t>
  </si>
  <si>
    <t>School ID Card</t>
  </si>
  <si>
    <t>Visa Extension fee</t>
  </si>
  <si>
    <t>Water fee</t>
  </si>
  <si>
    <t>Electricity fee</t>
  </si>
  <si>
    <t>Deposit</t>
  </si>
  <si>
    <t>Maintenamce Fee</t>
  </si>
  <si>
    <t>Pick-Up fee (Weekend)</t>
  </si>
  <si>
    <t>TOTAL AMOUNT</t>
  </si>
  <si>
    <t>NOTE:</t>
  </si>
  <si>
    <t>VISA EXTENSION FEE</t>
  </si>
  <si>
    <t>Electricity additional bill: For dormitory users, If it exceeds 16 KHW per week per person, 25 pesos per 1 KHW must be paid per person.</t>
  </si>
  <si>
    <t>No. of weeks</t>
  </si>
  <si>
    <t>Price</t>
  </si>
  <si>
    <t>Total Payment</t>
  </si>
  <si>
    <t>1 ~ 4 weeks</t>
  </si>
  <si>
    <t>free visa for 30 days</t>
  </si>
  <si>
    <t>5 ~ 8 weeks</t>
  </si>
  <si>
    <t>9~12 weeks</t>
  </si>
  <si>
    <t>ADDITIONAL FEE OF CLASS (4 weeks)</t>
  </si>
  <si>
    <t>13 ~ 16 weeks</t>
  </si>
  <si>
    <t>1:1 Class (ESL)</t>
  </si>
  <si>
    <t>Small Group</t>
  </si>
  <si>
    <t>17 ~ 20 weeks</t>
  </si>
  <si>
    <t>1:1 Class (IELTS, TOEIC, etc.)</t>
  </si>
  <si>
    <t>Big Group</t>
  </si>
  <si>
    <t>21 ~ 24 weeks</t>
  </si>
  <si>
    <t>LOCAL FEE, 2026.11.26</t>
  </si>
  <si>
    <t>AZON CONDO</t>
  </si>
  <si>
    <t xml:space="preserve">Pick-Up </t>
  </si>
  <si>
    <t>Electricity additional bill: For Azon condominium users, if the amount of monthly bill exceeds 5,000 pesos per person, the users must shoulder the additional charge.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</si>
</sst>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* #,##0_);_(* \(#,##0\);_(* &quot;-&quot;??_);_(@_)"/>
    <numFmt numFmtId="165" formatCode="_([$$-409]* #,##0_);_([$$-409]* \(#,##0\);_([$$-409]* &quot;-&quot;??_);_(@_)"/>
    <numFmt numFmtId="166" formatCode="_(* #,##0.00_);_(* \(#,##0.00\);_(* &quot;-&quot;??_);_(@_)"/>
    <numFmt numFmtId="167" formatCode="&quot;$&quot;#,##0_);[Red]\(&quot;$&quot;#,##0\)"/>
  </numFmts>
  <fonts count="21">
    <font>
      <sz val="11.0"/>
      <color theme="1"/>
      <name val="Arial"/>
      <scheme val="minor"/>
    </font>
    <font>
      <b/>
      <sz val="48.0"/>
      <color theme="1"/>
      <name val="Arial"/>
    </font>
    <font>
      <sz val="9.0"/>
      <color theme="1"/>
      <name val="Arial"/>
    </font>
    <font/>
    <font>
      <sz val="11.0"/>
      <color theme="0"/>
      <name val="Arial"/>
    </font>
    <font>
      <sz val="9.0"/>
      <color theme="0"/>
      <name val="Arial"/>
    </font>
    <font>
      <sz val="12.0"/>
      <color theme="0"/>
      <name val="Arial"/>
    </font>
    <font>
      <sz val="12.0"/>
      <color theme="1"/>
      <name val="Arial"/>
    </font>
    <font>
      <b/>
      <i/>
      <sz val="20.0"/>
      <color theme="0"/>
      <name val="Arial"/>
    </font>
    <font>
      <sz val="11.0"/>
      <color theme="1"/>
      <name val="Arial"/>
    </font>
    <font>
      <b/>
      <sz val="14.0"/>
      <color theme="0"/>
      <name val="Arial"/>
    </font>
    <font>
      <sz val="10.0"/>
      <color theme="1"/>
      <name val="Arial"/>
    </font>
    <font>
      <b/>
      <sz val="14.0"/>
      <color rgb="FF002060"/>
      <name val="Arial"/>
    </font>
    <font>
      <sz val="12.0"/>
      <color theme="1"/>
      <name val="Robot"/>
    </font>
    <font>
      <b/>
      <sz val="11.0"/>
      <color rgb="FF4C0099"/>
      <name val="Arial"/>
    </font>
    <font>
      <b/>
      <i/>
      <sz val="11.0"/>
      <color rgb="FF4C0099"/>
      <name val="Arial"/>
    </font>
    <font>
      <b/>
      <sz val="14.0"/>
      <color rgb="FF1E4E79"/>
      <name val="Arial"/>
    </font>
    <font>
      <b/>
      <sz val="11.0"/>
      <color theme="1"/>
      <name val="Arial"/>
    </font>
    <font>
      <sz val="11.0"/>
      <color rgb="FFFFFFFF"/>
      <name val="Arial"/>
    </font>
    <font>
      <sz val="14.0"/>
      <color theme="0"/>
      <name val="Arial"/>
    </font>
    <font>
      <sz val="11.0"/>
      <color theme="1"/>
      <name val="Robot"/>
    </font>
  </fonts>
  <fills count="2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3F3F3F"/>
        <bgColor rgb="FF3F3F3F"/>
      </patternFill>
    </fill>
    <fill>
      <patternFill patternType="solid">
        <fgColor rgb="FF2E75B5"/>
        <bgColor rgb="FF2E75B5"/>
      </patternFill>
    </fill>
    <fill>
      <patternFill patternType="solid">
        <fgColor rgb="FF1F3864"/>
        <bgColor rgb="FF1F3864"/>
      </patternFill>
    </fill>
    <fill>
      <patternFill patternType="solid">
        <fgColor rgb="FFE2EFD9"/>
        <bgColor rgb="FFE2EFD9"/>
      </patternFill>
    </fill>
    <fill>
      <patternFill patternType="solid">
        <fgColor rgb="FFDBEBD0"/>
        <bgColor rgb="FFDBEBD0"/>
      </patternFill>
    </fill>
    <fill>
      <patternFill patternType="solid">
        <fgColor rgb="FFBDD6EE"/>
        <bgColor rgb="FFBDD6EE"/>
      </patternFill>
    </fill>
    <fill>
      <patternFill patternType="solid">
        <fgColor rgb="FF9CC2E5"/>
        <bgColor rgb="FF9CC2E5"/>
      </patternFill>
    </fill>
    <fill>
      <patternFill patternType="solid">
        <fgColor rgb="FF8EAADB"/>
        <bgColor rgb="FF8EAADB"/>
      </patternFill>
    </fill>
    <fill>
      <patternFill patternType="solid">
        <fgColor rgb="FF333F4F"/>
        <bgColor rgb="FF333F4F"/>
      </patternFill>
    </fill>
    <fill>
      <patternFill patternType="solid">
        <fgColor rgb="FFF5EBF0"/>
        <bgColor rgb="FFF5EBF0"/>
      </patternFill>
    </fill>
    <fill>
      <patternFill patternType="solid">
        <fgColor rgb="FFD6DCE4"/>
        <bgColor rgb="FFD6DCE4"/>
      </patternFill>
    </fill>
    <fill>
      <patternFill patternType="solid">
        <fgColor rgb="FFD9E2F3"/>
        <bgColor rgb="FFD9E2F3"/>
      </patternFill>
    </fill>
    <fill>
      <patternFill patternType="solid">
        <fgColor rgb="FF548135"/>
        <bgColor rgb="FF548135"/>
      </patternFill>
    </fill>
    <fill>
      <patternFill patternType="solid">
        <fgColor rgb="FF29401A"/>
        <bgColor rgb="FF29401A"/>
      </patternFill>
    </fill>
    <fill>
      <patternFill patternType="solid">
        <fgColor rgb="FFDEEAF6"/>
        <bgColor rgb="FFDEEAF6"/>
      </patternFill>
    </fill>
    <fill>
      <patternFill patternType="solid">
        <fgColor rgb="FFC5E0B3"/>
        <bgColor rgb="FFC5E0B3"/>
      </patternFill>
    </fill>
    <fill>
      <patternFill patternType="solid">
        <fgColor rgb="FFA8D08D"/>
        <bgColor rgb="FFA8D08D"/>
      </patternFill>
    </fill>
  </fills>
  <borders count="46">
    <border/>
    <border>
      <bottom style="medium">
        <color theme="0"/>
      </bottom>
    </border>
    <border>
      <right style="medium">
        <color theme="0"/>
      </right>
      <top style="medium">
        <color theme="0"/>
      </top>
      <bottom style="medium">
        <color theme="0"/>
      </bottom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</border>
    <border>
      <left/>
      <right style="medium">
        <color theme="0"/>
      </right>
      <top style="medium">
        <color theme="0"/>
      </top>
      <bottom style="medium">
        <color theme="0"/>
      </bottom>
    </border>
    <border>
      <left style="medium">
        <color theme="0"/>
      </left>
      <right/>
      <top style="medium">
        <color theme="0"/>
      </top>
      <bottom style="medium">
        <color theme="0"/>
      </bottom>
    </border>
    <border>
      <bottom style="thin">
        <color rgb="FF000000"/>
      </bottom>
    </border>
    <border>
      <top style="medium">
        <color theme="0"/>
      </top>
      <bottom style="medium">
        <color theme="0"/>
      </bottom>
    </border>
    <border>
      <left/>
      <right style="medium">
        <color theme="0"/>
      </right>
      <top style="medium">
        <color theme="0"/>
      </top>
    </border>
    <border>
      <left/>
      <right style="medium">
        <color theme="0"/>
      </right>
    </border>
    <border>
      <left/>
      <right style="medium">
        <color theme="0"/>
      </right>
      <bottom style="medium">
        <color theme="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/>
      <top/>
      <bottom/>
    </border>
    <border>
      <top/>
      <bottom/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theme="0"/>
      </left>
      <top style="thin">
        <color theme="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left style="medium">
        <color rgb="FF000000"/>
      </left>
      <right/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theme="0"/>
      </right>
      <top style="medium">
        <color rgb="FF000000"/>
      </top>
      <bottom style="thin">
        <color theme="0"/>
      </bottom>
    </border>
    <border>
      <left style="thin">
        <color theme="0"/>
      </left>
      <right/>
      <top style="medium">
        <color rgb="FF000000"/>
      </top>
      <bottom style="thin">
        <color theme="0"/>
      </bottom>
    </border>
    <border>
      <left style="medium">
        <color rgb="FF000000"/>
      </left>
      <top style="medium">
        <color rgb="FF000000"/>
      </top>
      <bottom style="thin">
        <color theme="0"/>
      </bottom>
    </border>
    <border>
      <right style="thin">
        <color theme="0"/>
      </right>
      <top style="medium">
        <color rgb="FF000000"/>
      </top>
      <bottom style="thin">
        <color theme="0"/>
      </bottom>
    </border>
    <border>
      <left style="thin">
        <color theme="0"/>
      </left>
      <top style="medium">
        <color rgb="FF000000"/>
      </top>
      <bottom style="thin">
        <color theme="0"/>
      </bottom>
    </border>
    <border>
      <right style="medium">
        <color rgb="FF000000"/>
      </right>
      <top style="medium">
        <color rgb="FF000000"/>
      </top>
      <bottom style="thin">
        <color theme="0"/>
      </bottom>
    </border>
    <border>
      <left style="medium">
        <color rgb="FF000000"/>
      </left>
      <right style="thin">
        <color theme="0"/>
      </right>
      <top style="thin">
        <color theme="0"/>
      </top>
      <bottom style="medium">
        <color rgb="FF000000"/>
      </bottom>
    </border>
    <border>
      <left style="thin">
        <color theme="0"/>
      </left>
      <right/>
      <top style="thin">
        <color theme="0"/>
      </top>
      <bottom style="medium">
        <color rgb="FF000000"/>
      </bottom>
    </border>
    <border>
      <left style="medium">
        <color rgb="FF000000"/>
      </left>
      <top style="thin">
        <color theme="0"/>
      </top>
      <bottom style="medium">
        <color rgb="FF000000"/>
      </bottom>
    </border>
    <border>
      <right style="thin">
        <color theme="0"/>
      </right>
      <top style="thin">
        <color theme="0"/>
      </top>
      <bottom style="medium">
        <color rgb="FF000000"/>
      </bottom>
    </border>
    <border>
      <left style="thin">
        <color theme="0"/>
      </left>
      <top style="thin">
        <color theme="0"/>
      </top>
      <bottom style="medium">
        <color rgb="FF000000"/>
      </bottom>
    </border>
    <border>
      <right style="medium">
        <color rgb="FF000000"/>
      </right>
      <top style="thin">
        <color theme="0"/>
      </top>
      <bottom style="medium">
        <color rgb="FF000000"/>
      </bottom>
    </border>
    <border>
      <left style="thin">
        <color theme="0"/>
      </left>
      <right/>
      <top style="thin">
        <color theme="0"/>
      </top>
      <bottom style="thin">
        <color theme="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right/>
      <top style="thin">
        <color theme="0"/>
      </top>
    </border>
    <border>
      <left/>
      <right/>
    </border>
    <border>
      <left/>
      <right style="medium">
        <color rgb="FF000000"/>
      </right>
      <top style="medium">
        <color rgb="FF000000"/>
      </top>
      <bottom style="thin">
        <color theme="0"/>
      </bottom>
    </border>
    <border>
      <left/>
      <right style="medium">
        <color rgb="FF000000"/>
      </right>
      <top style="thin">
        <color theme="0"/>
      </top>
      <bottom style="medium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1" fillId="0" fontId="3" numFmtId="0" xfId="0" applyBorder="1" applyFont="1"/>
    <xf borderId="2" fillId="0" fontId="4" numFmtId="0" xfId="0" applyBorder="1" applyFont="1"/>
    <xf borderId="3" fillId="0" fontId="5" numFmtId="0" xfId="0" applyBorder="1" applyFont="1"/>
    <xf borderId="3" fillId="2" fontId="5" numFmtId="9" xfId="0" applyAlignment="1" applyBorder="1" applyFill="1" applyFont="1" applyNumberFormat="1">
      <alignment horizontal="center"/>
    </xf>
    <xf borderId="3" fillId="2" fontId="5" numFmtId="1" xfId="0" applyAlignment="1" applyBorder="1" applyFont="1" applyNumberFormat="1">
      <alignment horizontal="center"/>
    </xf>
    <xf borderId="0" fillId="0" fontId="5" numFmtId="0" xfId="0" applyFont="1"/>
    <xf borderId="4" fillId="3" fontId="6" numFmtId="0" xfId="0" applyAlignment="1" applyBorder="1" applyFill="1" applyFont="1">
      <alignment vertical="center"/>
    </xf>
    <xf borderId="3" fillId="3" fontId="6" numFmtId="0" xfId="0" applyAlignment="1" applyBorder="1" applyFont="1">
      <alignment vertical="center"/>
    </xf>
    <xf borderId="3" fillId="3" fontId="6" numFmtId="0" xfId="0" applyAlignment="1" applyBorder="1" applyFont="1">
      <alignment horizontal="center" vertical="center"/>
    </xf>
    <xf borderId="5" fillId="3" fontId="6" numFmtId="0" xfId="0" applyAlignment="1" applyBorder="1" applyFont="1">
      <alignment horizontal="center" vertical="center"/>
    </xf>
    <xf borderId="0" fillId="0" fontId="7" numFmtId="0" xfId="0" applyAlignment="1" applyFont="1">
      <alignment horizontal="center"/>
    </xf>
    <xf borderId="6" fillId="0" fontId="7" numFmtId="0" xfId="0" applyAlignment="1" applyBorder="1" applyFont="1">
      <alignment horizontal="center"/>
    </xf>
    <xf borderId="6" fillId="0" fontId="3" numFmtId="0" xfId="0" applyBorder="1" applyFont="1"/>
    <xf borderId="7" fillId="0" fontId="2" numFmtId="0" xfId="0" applyAlignment="1" applyBorder="1" applyFont="1">
      <alignment horizontal="center"/>
    </xf>
    <xf borderId="7" fillId="0" fontId="3" numFmtId="0" xfId="0" applyBorder="1" applyFont="1"/>
    <xf borderId="2" fillId="0" fontId="3" numFmtId="0" xfId="0" applyBorder="1" applyFont="1"/>
    <xf borderId="8" fillId="4" fontId="8" numFmtId="0" xfId="0" applyAlignment="1" applyBorder="1" applyFill="1" applyFont="1">
      <alignment horizontal="center" shrinkToFit="0" vertical="center" wrapText="1"/>
    </xf>
    <xf borderId="3" fillId="5" fontId="4" numFmtId="0" xfId="0" applyAlignment="1" applyBorder="1" applyFill="1" applyFont="1">
      <alignment horizontal="left" shrinkToFit="0" vertical="center" wrapText="1"/>
    </xf>
    <xf borderId="3" fillId="6" fontId="9" numFmtId="164" xfId="0" applyBorder="1" applyFill="1" applyFont="1" applyNumberFormat="1"/>
    <xf borderId="0" fillId="0" fontId="2" numFmtId="165" xfId="0" applyFont="1" applyNumberFormat="1"/>
    <xf borderId="9" fillId="0" fontId="3" numFmtId="0" xfId="0" applyBorder="1" applyFont="1"/>
    <xf borderId="3" fillId="7" fontId="9" numFmtId="164" xfId="0" applyAlignment="1" applyBorder="1" applyFill="1" applyFont="1" applyNumberFormat="1">
      <alignment horizontal="center"/>
    </xf>
    <xf borderId="3" fillId="7" fontId="9" numFmtId="164" xfId="0" applyBorder="1" applyFont="1" applyNumberFormat="1"/>
    <xf borderId="3" fillId="8" fontId="9" numFmtId="164" xfId="0" applyBorder="1" applyFill="1" applyFont="1" applyNumberFormat="1"/>
    <xf borderId="3" fillId="9" fontId="9" numFmtId="164" xfId="0" applyBorder="1" applyFill="1" applyFont="1" applyNumberFormat="1"/>
    <xf borderId="3" fillId="10" fontId="9" numFmtId="164" xfId="0" applyBorder="1" applyFill="1" applyFont="1" applyNumberFormat="1"/>
    <xf borderId="5" fillId="8" fontId="9" numFmtId="164" xfId="0" applyBorder="1" applyFont="1" applyNumberFormat="1"/>
    <xf borderId="10" fillId="0" fontId="3" numFmtId="0" xfId="0" applyBorder="1" applyFont="1"/>
    <xf borderId="3" fillId="11" fontId="6" numFmtId="0" xfId="0" applyAlignment="1" applyBorder="1" applyFill="1" applyFont="1">
      <alignment horizontal="left" shrinkToFit="0" vertical="center" wrapText="1"/>
    </xf>
    <xf borderId="3" fillId="11" fontId="6" numFmtId="164" xfId="0" applyAlignment="1" applyBorder="1" applyFont="1" applyNumberFormat="1">
      <alignment horizontal="center" vertical="center"/>
    </xf>
    <xf borderId="0" fillId="0" fontId="9" numFmtId="0" xfId="0" applyFont="1"/>
    <xf borderId="11" fillId="3" fontId="10" numFmtId="0" xfId="0" applyAlignment="1" applyBorder="1" applyFont="1">
      <alignment horizontal="left" vertical="center"/>
    </xf>
    <xf borderId="12" fillId="0" fontId="3" numFmtId="0" xfId="0" applyBorder="1" applyFont="1"/>
    <xf borderId="13" fillId="0" fontId="3" numFmtId="0" xfId="0" applyBorder="1" applyFont="1"/>
    <xf borderId="0" fillId="0" fontId="11" numFmtId="0" xfId="0" applyFont="1"/>
    <xf borderId="14" fillId="2" fontId="12" numFmtId="0" xfId="0" applyAlignment="1" applyBorder="1" applyFont="1">
      <alignment horizontal="center" vertical="center"/>
    </xf>
    <xf borderId="15" fillId="0" fontId="3" numFmtId="0" xfId="0" applyBorder="1" applyFont="1"/>
    <xf borderId="16" fillId="3" fontId="6" numFmtId="0" xfId="0" applyAlignment="1" applyBorder="1" applyFont="1">
      <alignment horizontal="center" vertical="center"/>
    </xf>
    <xf borderId="17" fillId="12" fontId="13" numFmtId="2" xfId="0" applyAlignment="1" applyBorder="1" applyFill="1" applyFont="1" applyNumberFormat="1">
      <alignment horizontal="center" shrinkToFit="0" vertical="center" wrapText="1"/>
    </xf>
    <xf borderId="18" fillId="0" fontId="3" numFmtId="0" xfId="0" applyBorder="1" applyFont="1"/>
    <xf borderId="19" fillId="0" fontId="3" numFmtId="0" xfId="0" applyBorder="1" applyFont="1"/>
    <xf borderId="20" fillId="13" fontId="7" numFmtId="0" xfId="0" applyAlignment="1" applyBorder="1" applyFill="1" applyFont="1">
      <alignment horizontal="center" vertical="center"/>
    </xf>
    <xf borderId="21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24" fillId="0" fontId="3" numFmtId="0" xfId="0" applyBorder="1" applyFont="1"/>
    <xf borderId="25" fillId="0" fontId="3" numFmtId="0" xfId="0" applyBorder="1" applyFont="1"/>
    <xf borderId="20" fillId="6" fontId="9" numFmtId="0" xfId="0" applyAlignment="1" applyBorder="1" applyFont="1">
      <alignment horizontal="center" vertical="center"/>
    </xf>
    <xf borderId="20" fillId="6" fontId="9" numFmtId="0" xfId="0" applyAlignment="1" applyBorder="1" applyFont="1">
      <alignment horizontal="right" vertical="center"/>
    </xf>
    <xf borderId="20" fillId="6" fontId="14" numFmtId="0" xfId="0" applyAlignment="1" applyBorder="1" applyFont="1">
      <alignment horizontal="center" vertical="center"/>
    </xf>
    <xf borderId="18" fillId="0" fontId="6" numFmtId="0" xfId="0" applyAlignment="1" applyBorder="1" applyFont="1">
      <alignment vertical="center"/>
    </xf>
    <xf borderId="0" fillId="0" fontId="13" numFmtId="2" xfId="0" applyAlignment="1" applyFont="1" applyNumberFormat="1">
      <alignment shrinkToFit="0" vertical="center" wrapText="1"/>
    </xf>
    <xf borderId="20" fillId="6" fontId="9" numFmtId="166" xfId="0" applyAlignment="1" applyBorder="1" applyFont="1" applyNumberFormat="1">
      <alignment horizontal="center" vertical="center"/>
    </xf>
    <xf borderId="20" fillId="6" fontId="15" numFmtId="166" xfId="0" applyAlignment="1" applyBorder="1" applyFont="1" applyNumberFormat="1">
      <alignment horizontal="center" vertical="center"/>
    </xf>
    <xf borderId="0" fillId="0" fontId="16" numFmtId="0" xfId="0" applyAlignment="1" applyFont="1">
      <alignment horizontal="left" vertical="center"/>
    </xf>
    <xf borderId="26" fillId="9" fontId="9" numFmtId="0" xfId="0" applyAlignment="1" applyBorder="1" applyFont="1">
      <alignment vertical="center"/>
    </xf>
    <xf borderId="27" fillId="14" fontId="17" numFmtId="167" xfId="0" applyAlignment="1" applyBorder="1" applyFill="1" applyFont="1" applyNumberFormat="1">
      <alignment horizontal="center" vertical="center"/>
    </xf>
    <xf borderId="28" fillId="9" fontId="9" numFmtId="0" xfId="0" applyAlignment="1" applyBorder="1" applyFont="1">
      <alignment horizontal="center" vertical="center"/>
    </xf>
    <xf borderId="29" fillId="0" fontId="3" numFmtId="0" xfId="0" applyBorder="1" applyFont="1"/>
    <xf borderId="30" fillId="14" fontId="9" numFmtId="167" xfId="0" applyAlignment="1" applyBorder="1" applyFont="1" applyNumberFormat="1">
      <alignment horizontal="center" vertical="center"/>
    </xf>
    <xf borderId="31" fillId="0" fontId="3" numFmtId="0" xfId="0" applyBorder="1" applyFont="1"/>
    <xf borderId="32" fillId="9" fontId="9" numFmtId="0" xfId="0" applyAlignment="1" applyBorder="1" applyFont="1">
      <alignment vertical="center"/>
    </xf>
    <xf borderId="33" fillId="14" fontId="17" numFmtId="167" xfId="0" applyAlignment="1" applyBorder="1" applyFont="1" applyNumberFormat="1">
      <alignment horizontal="center" vertical="center"/>
    </xf>
    <xf borderId="34" fillId="9" fontId="9" numFmtId="0" xfId="0" applyAlignment="1" applyBorder="1" applyFont="1">
      <alignment horizontal="center" vertical="center"/>
    </xf>
    <xf borderId="35" fillId="0" fontId="3" numFmtId="0" xfId="0" applyBorder="1" applyFont="1"/>
    <xf borderId="36" fillId="14" fontId="9" numFmtId="167" xfId="0" applyAlignment="1" applyBorder="1" applyFont="1" applyNumberFormat="1">
      <alignment horizontal="center" vertical="center"/>
    </xf>
    <xf borderId="37" fillId="0" fontId="3" numFmtId="0" xfId="0" applyBorder="1" applyFont="1"/>
    <xf borderId="8" fillId="15" fontId="8" numFmtId="0" xfId="0" applyAlignment="1" applyBorder="1" applyFill="1" applyFont="1">
      <alignment horizontal="center" shrinkToFit="0" vertical="center" wrapText="1"/>
    </xf>
    <xf borderId="3" fillId="16" fontId="4" numFmtId="0" xfId="0" applyAlignment="1" applyBorder="1" applyFill="1" applyFont="1">
      <alignment shrinkToFit="0" vertical="center" wrapText="1"/>
    </xf>
    <xf borderId="3" fillId="17" fontId="9" numFmtId="164" xfId="0" applyBorder="1" applyFill="1" applyFont="1" applyNumberFormat="1"/>
    <xf borderId="3" fillId="16" fontId="18" numFmtId="0" xfId="0" applyAlignment="1" applyBorder="1" applyFont="1">
      <alignment shrinkToFit="0" vertical="center" wrapText="1"/>
    </xf>
    <xf borderId="3" fillId="8" fontId="9" numFmtId="164" xfId="0" applyAlignment="1" applyBorder="1" applyFont="1" applyNumberFormat="1">
      <alignment horizontal="center"/>
    </xf>
    <xf borderId="3" fillId="18" fontId="9" numFmtId="164" xfId="0" applyBorder="1" applyFill="1" applyFont="1" applyNumberFormat="1"/>
    <xf borderId="3" fillId="19" fontId="9" numFmtId="164" xfId="0" applyBorder="1" applyFill="1" applyFont="1" applyNumberFormat="1"/>
    <xf borderId="5" fillId="19" fontId="9" numFmtId="164" xfId="0" applyBorder="1" applyFont="1" applyNumberFormat="1"/>
    <xf borderId="0" fillId="0" fontId="5" numFmtId="165" xfId="0" applyAlignment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38" fillId="3" fontId="10" numFmtId="0" xfId="0" applyAlignment="1" applyBorder="1" applyFont="1">
      <alignment horizontal="left" vertical="center"/>
    </xf>
    <xf borderId="39" fillId="3" fontId="19" numFmtId="0" xfId="0" applyAlignment="1" applyBorder="1" applyFont="1">
      <alignment horizontal="left" vertical="center"/>
    </xf>
    <xf borderId="40" fillId="3" fontId="19" numFmtId="0" xfId="0" applyAlignment="1" applyBorder="1" applyFont="1">
      <alignment horizontal="left" vertical="center"/>
    </xf>
    <xf borderId="41" fillId="3" fontId="19" numFmtId="0" xfId="0" applyAlignment="1" applyBorder="1" applyFont="1">
      <alignment horizontal="left" vertical="center"/>
    </xf>
    <xf borderId="42" fillId="3" fontId="6" numFmtId="0" xfId="0" applyAlignment="1" applyBorder="1" applyFont="1">
      <alignment horizontal="center" vertical="center"/>
    </xf>
    <xf borderId="17" fillId="12" fontId="20" numFmtId="2" xfId="0" applyAlignment="1" applyBorder="1" applyFont="1" applyNumberFormat="1">
      <alignment horizontal="center" shrinkToFit="0" vertical="center" wrapText="1"/>
    </xf>
    <xf borderId="43" fillId="0" fontId="3" numFmtId="0" xfId="0" applyBorder="1" applyFont="1"/>
    <xf borderId="27" fillId="14" fontId="9" numFmtId="167" xfId="0" applyAlignment="1" applyBorder="1" applyFont="1" applyNumberFormat="1">
      <alignment horizontal="center" vertical="center"/>
    </xf>
    <xf borderId="44" fillId="14" fontId="9" numFmtId="0" xfId="0" applyAlignment="1" applyBorder="1" applyFont="1">
      <alignment horizontal="center" vertical="center"/>
    </xf>
    <xf borderId="33" fillId="14" fontId="9" numFmtId="167" xfId="0" applyAlignment="1" applyBorder="1" applyFont="1" applyNumberFormat="1">
      <alignment horizontal="center" vertical="center"/>
    </xf>
    <xf borderId="45" fillId="14" fontId="9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352425</xdr:colOff>
      <xdr:row>0</xdr:row>
      <xdr:rowOff>19050</xdr:rowOff>
    </xdr:from>
    <xdr:ext cx="1943100" cy="742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219075</xdr:colOff>
      <xdr:row>0</xdr:row>
      <xdr:rowOff>38100</xdr:rowOff>
    </xdr:from>
    <xdr:ext cx="1876425" cy="7334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pageSetUpPr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22.63"/>
    <col customWidth="1" min="3" max="26" width="9.25"/>
    <col customWidth="1" min="27" max="27" width="11.0"/>
    <col customWidth="1" min="28" max="28" width="7.88"/>
    <col customWidth="1" min="29" max="29" width="1.0"/>
    <col customWidth="1" min="30" max="30" width="15.63"/>
    <col customWidth="1" min="31" max="40" width="7.88"/>
  </cols>
  <sheetData>
    <row r="1" ht="15.0" customHeight="1">
      <c r="A1" s="1" t="s">
        <v>0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ht="15.0" customHeight="1"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ht="15.0" customHeight="1"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ht="15.0" customHeight="1"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r="5" ht="15.0" customHeight="1"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</row>
    <row r="6" ht="7.5" customHeight="1"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</row>
    <row r="7" ht="4.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</row>
    <row r="8" ht="13.5" hidden="1" customHeight="1">
      <c r="A8" s="4"/>
      <c r="B8" s="5"/>
      <c r="C8" s="6"/>
      <c r="D8" s="7">
        <v>2.0</v>
      </c>
      <c r="E8" s="7">
        <v>3.0</v>
      </c>
      <c r="F8" s="7">
        <v>4.0</v>
      </c>
      <c r="G8" s="7">
        <v>5.0</v>
      </c>
      <c r="H8" s="7">
        <v>6.0</v>
      </c>
      <c r="I8" s="7">
        <v>7.0</v>
      </c>
      <c r="J8" s="7">
        <v>8.0</v>
      </c>
      <c r="K8" s="7">
        <v>9.0</v>
      </c>
      <c r="L8" s="7">
        <v>10.0</v>
      </c>
      <c r="M8" s="7">
        <v>11.0</v>
      </c>
      <c r="N8" s="7">
        <v>12.0</v>
      </c>
      <c r="O8" s="7">
        <v>13.0</v>
      </c>
      <c r="P8" s="7">
        <v>14.0</v>
      </c>
      <c r="Q8" s="7">
        <v>15.0</v>
      </c>
      <c r="R8" s="7">
        <v>16.0</v>
      </c>
      <c r="S8" s="7">
        <v>17.0</v>
      </c>
      <c r="T8" s="7">
        <v>18.0</v>
      </c>
      <c r="U8" s="7">
        <v>19.0</v>
      </c>
      <c r="V8" s="7">
        <v>20.0</v>
      </c>
      <c r="W8" s="7">
        <v>21.0</v>
      </c>
      <c r="X8" s="7">
        <v>22.0</v>
      </c>
      <c r="Y8" s="7">
        <v>23.0</v>
      </c>
      <c r="Z8" s="7">
        <v>24.0</v>
      </c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</row>
    <row r="9" ht="26.25" customHeight="1">
      <c r="A9" s="9"/>
      <c r="B9" s="10" t="s">
        <v>1</v>
      </c>
      <c r="C9" s="11" t="s">
        <v>2</v>
      </c>
      <c r="D9" s="11" t="s">
        <v>3</v>
      </c>
      <c r="E9" s="11" t="s">
        <v>4</v>
      </c>
      <c r="F9" s="11" t="s">
        <v>5</v>
      </c>
      <c r="G9" s="11" t="s">
        <v>6</v>
      </c>
      <c r="H9" s="11" t="s">
        <v>7</v>
      </c>
      <c r="I9" s="11" t="s">
        <v>8</v>
      </c>
      <c r="J9" s="11" t="s">
        <v>9</v>
      </c>
      <c r="K9" s="11" t="s">
        <v>10</v>
      </c>
      <c r="L9" s="11" t="s">
        <v>11</v>
      </c>
      <c r="M9" s="11" t="s">
        <v>12</v>
      </c>
      <c r="N9" s="11" t="s">
        <v>13</v>
      </c>
      <c r="O9" s="11" t="s">
        <v>14</v>
      </c>
      <c r="P9" s="11" t="s">
        <v>15</v>
      </c>
      <c r="Q9" s="11" t="s">
        <v>16</v>
      </c>
      <c r="R9" s="11" t="s">
        <v>17</v>
      </c>
      <c r="S9" s="11" t="s">
        <v>18</v>
      </c>
      <c r="T9" s="11" t="s">
        <v>19</v>
      </c>
      <c r="U9" s="11" t="s">
        <v>20</v>
      </c>
      <c r="V9" s="11" t="s">
        <v>21</v>
      </c>
      <c r="W9" s="11" t="s">
        <v>22</v>
      </c>
      <c r="X9" s="11" t="s">
        <v>23</v>
      </c>
      <c r="Y9" s="11" t="s">
        <v>24</v>
      </c>
      <c r="Z9" s="12" t="s">
        <v>25</v>
      </c>
      <c r="AA9" s="13"/>
      <c r="AB9" s="13"/>
      <c r="AC9" s="13"/>
      <c r="AD9" s="14" t="s">
        <v>26</v>
      </c>
      <c r="AE9" s="15"/>
      <c r="AF9" s="15"/>
      <c r="AG9" s="15"/>
      <c r="AH9" s="15"/>
      <c r="AI9" s="13"/>
      <c r="AJ9" s="14" t="s">
        <v>27</v>
      </c>
      <c r="AK9" s="15"/>
      <c r="AL9" s="15"/>
      <c r="AM9" s="15"/>
      <c r="AN9" s="15"/>
    </row>
    <row r="10" ht="4.5" customHeight="1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8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</row>
    <row r="11" ht="25.5" customHeight="1">
      <c r="A11" s="19" t="s">
        <v>28</v>
      </c>
      <c r="B11" s="20" t="s">
        <v>29</v>
      </c>
      <c r="C11" s="21">
        <v>7800.0</v>
      </c>
      <c r="D11" s="21">
        <v>7800.0</v>
      </c>
      <c r="E11" s="21">
        <v>7800.0</v>
      </c>
      <c r="F11" s="21">
        <v>7800.0</v>
      </c>
      <c r="G11" s="21">
        <v>7800.0</v>
      </c>
      <c r="H11" s="21">
        <v>7800.0</v>
      </c>
      <c r="I11" s="21">
        <v>7800.0</v>
      </c>
      <c r="J11" s="21">
        <v>7800.0</v>
      </c>
      <c r="K11" s="21">
        <v>7800.0</v>
      </c>
      <c r="L11" s="21">
        <v>7800.0</v>
      </c>
      <c r="M11" s="21">
        <v>7800.0</v>
      </c>
      <c r="N11" s="21">
        <v>7800.0</v>
      </c>
      <c r="O11" s="21">
        <v>7800.0</v>
      </c>
      <c r="P11" s="21">
        <v>7800.0</v>
      </c>
      <c r="Q11" s="21">
        <v>7800.0</v>
      </c>
      <c r="R11" s="21">
        <v>7800.0</v>
      </c>
      <c r="S11" s="21">
        <v>7800.0</v>
      </c>
      <c r="T11" s="21">
        <v>7800.0</v>
      </c>
      <c r="U11" s="21">
        <v>7800.0</v>
      </c>
      <c r="V11" s="21">
        <v>7800.0</v>
      </c>
      <c r="W11" s="21">
        <v>7800.0</v>
      </c>
      <c r="X11" s="21">
        <v>7800.0</v>
      </c>
      <c r="Y11" s="21">
        <v>7800.0</v>
      </c>
      <c r="Z11" s="21">
        <v>7800.0</v>
      </c>
      <c r="AA11" s="22"/>
      <c r="AB11" s="2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</row>
    <row r="12" ht="25.5" customHeight="1">
      <c r="A12" s="23"/>
      <c r="B12" s="20" t="s">
        <v>30</v>
      </c>
      <c r="C12" s="21">
        <v>4500.0</v>
      </c>
      <c r="D12" s="21">
        <v>4500.0</v>
      </c>
      <c r="E12" s="21">
        <v>4500.0</v>
      </c>
      <c r="F12" s="21">
        <v>4500.0</v>
      </c>
      <c r="G12" s="21">
        <v>4500.0</v>
      </c>
      <c r="H12" s="21">
        <v>4500.0</v>
      </c>
      <c r="I12" s="21">
        <v>4500.0</v>
      </c>
      <c r="J12" s="21">
        <v>4500.0</v>
      </c>
      <c r="K12" s="21">
        <v>4500.0</v>
      </c>
      <c r="L12" s="21">
        <v>4500.0</v>
      </c>
      <c r="M12" s="21">
        <v>4500.0</v>
      </c>
      <c r="N12" s="21">
        <v>4500.0</v>
      </c>
      <c r="O12" s="21">
        <v>4500.0</v>
      </c>
      <c r="P12" s="21">
        <v>4500.0</v>
      </c>
      <c r="Q12" s="21">
        <v>4500.0</v>
      </c>
      <c r="R12" s="21">
        <v>4500.0</v>
      </c>
      <c r="S12" s="21">
        <v>4500.0</v>
      </c>
      <c r="T12" s="21">
        <v>4500.0</v>
      </c>
      <c r="U12" s="21">
        <v>4500.0</v>
      </c>
      <c r="V12" s="21">
        <v>4500.0</v>
      </c>
      <c r="W12" s="21">
        <v>4500.0</v>
      </c>
      <c r="X12" s="21">
        <v>4500.0</v>
      </c>
      <c r="Y12" s="21">
        <v>4500.0</v>
      </c>
      <c r="Z12" s="21">
        <v>4500.0</v>
      </c>
      <c r="AA12" s="22"/>
      <c r="AB12" s="2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</row>
    <row r="13" ht="25.5" customHeight="1">
      <c r="A13" s="23"/>
      <c r="B13" s="20" t="s">
        <v>31</v>
      </c>
      <c r="C13" s="24" t="s">
        <v>32</v>
      </c>
      <c r="D13" s="24" t="s">
        <v>32</v>
      </c>
      <c r="E13" s="24" t="s">
        <v>32</v>
      </c>
      <c r="F13" s="24" t="s">
        <v>32</v>
      </c>
      <c r="G13" s="24" t="s">
        <v>32</v>
      </c>
      <c r="H13" s="24" t="s">
        <v>32</v>
      </c>
      <c r="I13" s="24" t="s">
        <v>32</v>
      </c>
      <c r="J13" s="24" t="s">
        <v>32</v>
      </c>
      <c r="K13" s="25">
        <v>4000.0</v>
      </c>
      <c r="L13" s="25">
        <v>4000.0</v>
      </c>
      <c r="M13" s="25">
        <v>4000.0</v>
      </c>
      <c r="N13" s="25">
        <v>4000.0</v>
      </c>
      <c r="O13" s="25">
        <v>4000.0</v>
      </c>
      <c r="P13" s="25">
        <v>4000.0</v>
      </c>
      <c r="Q13" s="25">
        <v>4000.0</v>
      </c>
      <c r="R13" s="25">
        <v>4000.0</v>
      </c>
      <c r="S13" s="25">
        <v>4000.0</v>
      </c>
      <c r="T13" s="25">
        <v>4000.0</v>
      </c>
      <c r="U13" s="25">
        <v>4000.0</v>
      </c>
      <c r="V13" s="25">
        <v>4000.0</v>
      </c>
      <c r="W13" s="25">
        <v>4000.0</v>
      </c>
      <c r="X13" s="25">
        <v>4000.0</v>
      </c>
      <c r="Y13" s="25">
        <v>4000.0</v>
      </c>
      <c r="Z13" s="25">
        <v>4000.0</v>
      </c>
      <c r="AA13" s="22"/>
      <c r="AB13" s="2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</row>
    <row r="14" ht="25.5" customHeight="1">
      <c r="A14" s="23"/>
      <c r="B14" s="20" t="s">
        <v>33</v>
      </c>
      <c r="C14" s="26">
        <v>400.0</v>
      </c>
      <c r="D14" s="26">
        <v>400.0</v>
      </c>
      <c r="E14" s="26">
        <v>400.0</v>
      </c>
      <c r="F14" s="26">
        <v>400.0</v>
      </c>
      <c r="G14" s="26">
        <v>400.0</v>
      </c>
      <c r="H14" s="26">
        <v>400.0</v>
      </c>
      <c r="I14" s="26">
        <v>400.0</v>
      </c>
      <c r="J14" s="26">
        <v>400.0</v>
      </c>
      <c r="K14" s="26">
        <v>400.0</v>
      </c>
      <c r="L14" s="26">
        <v>400.0</v>
      </c>
      <c r="M14" s="26">
        <v>400.0</v>
      </c>
      <c r="N14" s="26">
        <v>400.0</v>
      </c>
      <c r="O14" s="26">
        <v>400.0</v>
      </c>
      <c r="P14" s="26">
        <v>400.0</v>
      </c>
      <c r="Q14" s="26">
        <v>400.0</v>
      </c>
      <c r="R14" s="26">
        <v>400.0</v>
      </c>
      <c r="S14" s="26">
        <v>400.0</v>
      </c>
      <c r="T14" s="26">
        <v>400.0</v>
      </c>
      <c r="U14" s="26">
        <v>400.0</v>
      </c>
      <c r="V14" s="26">
        <v>400.0</v>
      </c>
      <c r="W14" s="26">
        <v>400.0</v>
      </c>
      <c r="X14" s="26">
        <v>400.0</v>
      </c>
      <c r="Y14" s="26">
        <v>400.0</v>
      </c>
      <c r="Z14" s="26">
        <v>400.0</v>
      </c>
      <c r="AA14" s="22"/>
      <c r="AB14" s="2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</row>
    <row r="15" ht="25.5" customHeight="1">
      <c r="A15" s="23"/>
      <c r="B15" s="20" t="s">
        <v>34</v>
      </c>
      <c r="C15" s="27"/>
      <c r="D15" s="27"/>
      <c r="E15" s="27"/>
      <c r="F15" s="27"/>
      <c r="G15" s="27">
        <v>5140.0</v>
      </c>
      <c r="H15" s="27">
        <v>5140.0</v>
      </c>
      <c r="I15" s="27">
        <v>5140.0</v>
      </c>
      <c r="J15" s="27">
        <v>5140.0</v>
      </c>
      <c r="K15" s="27">
        <v>12060.0</v>
      </c>
      <c r="L15" s="27">
        <v>12060.0</v>
      </c>
      <c r="M15" s="27">
        <v>12060.0</v>
      </c>
      <c r="N15" s="27">
        <v>12060.0</v>
      </c>
      <c r="O15" s="27">
        <v>16500.0</v>
      </c>
      <c r="P15" s="27">
        <v>16500.0</v>
      </c>
      <c r="Q15" s="27">
        <v>16500.0</v>
      </c>
      <c r="R15" s="27">
        <v>16500.0</v>
      </c>
      <c r="S15" s="27">
        <v>21450.0</v>
      </c>
      <c r="T15" s="27">
        <v>21450.0</v>
      </c>
      <c r="U15" s="27">
        <v>21450.0</v>
      </c>
      <c r="V15" s="27">
        <v>21450.0</v>
      </c>
      <c r="W15" s="27">
        <v>26900.0</v>
      </c>
      <c r="X15" s="27">
        <v>26900.0</v>
      </c>
      <c r="Y15" s="27">
        <v>26900.0</v>
      </c>
      <c r="Z15" s="27">
        <v>26900.0</v>
      </c>
      <c r="AA15" s="22"/>
      <c r="AB15" s="2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</row>
    <row r="16" ht="25.5" customHeight="1">
      <c r="A16" s="23"/>
      <c r="B16" s="20" t="s">
        <v>35</v>
      </c>
      <c r="C16" s="28">
        <v>250.0</v>
      </c>
      <c r="D16" s="28">
        <v>500.0</v>
      </c>
      <c r="E16" s="28">
        <v>750.0</v>
      </c>
      <c r="F16" s="28">
        <v>1000.0</v>
      </c>
      <c r="G16" s="28">
        <v>1250.0</v>
      </c>
      <c r="H16" s="28">
        <v>1500.0</v>
      </c>
      <c r="I16" s="28">
        <v>1750.0</v>
      </c>
      <c r="J16" s="28">
        <v>2000.0</v>
      </c>
      <c r="K16" s="28">
        <v>2250.0</v>
      </c>
      <c r="L16" s="28">
        <v>2500.0</v>
      </c>
      <c r="M16" s="28">
        <v>2750.0</v>
      </c>
      <c r="N16" s="28">
        <v>3000.0</v>
      </c>
      <c r="O16" s="28">
        <v>3250.0</v>
      </c>
      <c r="P16" s="28">
        <v>3500.0</v>
      </c>
      <c r="Q16" s="28">
        <v>3750.0</v>
      </c>
      <c r="R16" s="28">
        <v>4000.0</v>
      </c>
      <c r="S16" s="28">
        <v>4250.0</v>
      </c>
      <c r="T16" s="28">
        <v>4500.0</v>
      </c>
      <c r="U16" s="28">
        <v>4750.0</v>
      </c>
      <c r="V16" s="28">
        <v>5000.0</v>
      </c>
      <c r="W16" s="28">
        <v>5250.0</v>
      </c>
      <c r="X16" s="28">
        <v>5500.0</v>
      </c>
      <c r="Y16" s="28">
        <v>5750.0</v>
      </c>
      <c r="Z16" s="28">
        <v>6000.0</v>
      </c>
      <c r="AA16" s="22"/>
      <c r="AB16" s="2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</row>
    <row r="17" ht="25.5" customHeight="1">
      <c r="A17" s="23"/>
      <c r="B17" s="20" t="s">
        <v>36</v>
      </c>
      <c r="C17" s="21">
        <v>700.0</v>
      </c>
      <c r="D17" s="21">
        <f t="shared" ref="D17:Z17" si="1">$C$17*D8</f>
        <v>1400</v>
      </c>
      <c r="E17" s="21">
        <f t="shared" si="1"/>
        <v>2100</v>
      </c>
      <c r="F17" s="21">
        <f t="shared" si="1"/>
        <v>2800</v>
      </c>
      <c r="G17" s="21">
        <f t="shared" si="1"/>
        <v>3500</v>
      </c>
      <c r="H17" s="21">
        <f t="shared" si="1"/>
        <v>4200</v>
      </c>
      <c r="I17" s="21">
        <f t="shared" si="1"/>
        <v>4900</v>
      </c>
      <c r="J17" s="21">
        <f t="shared" si="1"/>
        <v>5600</v>
      </c>
      <c r="K17" s="21">
        <f t="shared" si="1"/>
        <v>6300</v>
      </c>
      <c r="L17" s="21">
        <f t="shared" si="1"/>
        <v>7000</v>
      </c>
      <c r="M17" s="21">
        <f t="shared" si="1"/>
        <v>7700</v>
      </c>
      <c r="N17" s="21">
        <f t="shared" si="1"/>
        <v>8400</v>
      </c>
      <c r="O17" s="21">
        <f t="shared" si="1"/>
        <v>9100</v>
      </c>
      <c r="P17" s="21">
        <f t="shared" si="1"/>
        <v>9800</v>
      </c>
      <c r="Q17" s="21">
        <f t="shared" si="1"/>
        <v>10500</v>
      </c>
      <c r="R17" s="21">
        <f t="shared" si="1"/>
        <v>11200</v>
      </c>
      <c r="S17" s="21">
        <f t="shared" si="1"/>
        <v>11900</v>
      </c>
      <c r="T17" s="21">
        <f t="shared" si="1"/>
        <v>12600</v>
      </c>
      <c r="U17" s="21">
        <f t="shared" si="1"/>
        <v>13300</v>
      </c>
      <c r="V17" s="21">
        <f t="shared" si="1"/>
        <v>14000</v>
      </c>
      <c r="W17" s="21">
        <f t="shared" si="1"/>
        <v>14700</v>
      </c>
      <c r="X17" s="21">
        <f t="shared" si="1"/>
        <v>15400</v>
      </c>
      <c r="Y17" s="21">
        <f t="shared" si="1"/>
        <v>16100</v>
      </c>
      <c r="Z17" s="21">
        <f t="shared" si="1"/>
        <v>16800</v>
      </c>
      <c r="AA17" s="22"/>
      <c r="AB17" s="2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</row>
    <row r="18" ht="25.5" customHeight="1">
      <c r="A18" s="23"/>
      <c r="B18" s="20" t="s">
        <v>37</v>
      </c>
      <c r="C18" s="25">
        <v>2000.0</v>
      </c>
      <c r="D18" s="25">
        <v>2000.0</v>
      </c>
      <c r="E18" s="25">
        <v>3000.0</v>
      </c>
      <c r="F18" s="25">
        <v>3000.0</v>
      </c>
      <c r="G18" s="25">
        <v>3000.0</v>
      </c>
      <c r="H18" s="25">
        <v>3000.0</v>
      </c>
      <c r="I18" s="25">
        <v>3000.0</v>
      </c>
      <c r="J18" s="25">
        <v>4000.0</v>
      </c>
      <c r="K18" s="25">
        <v>4000.0</v>
      </c>
      <c r="L18" s="25">
        <v>4000.0</v>
      </c>
      <c r="M18" s="25">
        <v>4000.0</v>
      </c>
      <c r="N18" s="25">
        <v>5000.0</v>
      </c>
      <c r="O18" s="25">
        <v>5000.0</v>
      </c>
      <c r="P18" s="25">
        <v>5000.0</v>
      </c>
      <c r="Q18" s="25">
        <v>5000.0</v>
      </c>
      <c r="R18" s="25">
        <v>5000.0</v>
      </c>
      <c r="S18" s="25">
        <v>5000.0</v>
      </c>
      <c r="T18" s="25">
        <v>5000.0</v>
      </c>
      <c r="U18" s="25">
        <v>5000.0</v>
      </c>
      <c r="V18" s="25">
        <v>5000.0</v>
      </c>
      <c r="W18" s="25">
        <v>5000.0</v>
      </c>
      <c r="X18" s="25">
        <v>5000.0</v>
      </c>
      <c r="Y18" s="25">
        <v>5000.0</v>
      </c>
      <c r="Z18" s="25">
        <v>5000.0</v>
      </c>
      <c r="AA18" s="22"/>
      <c r="AB18" s="2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</row>
    <row r="19" ht="25.5" customHeight="1">
      <c r="A19" s="23"/>
      <c r="B19" s="20" t="s">
        <v>38</v>
      </c>
      <c r="C19" s="26">
        <v>550.0</v>
      </c>
      <c r="D19" s="26">
        <f>C19*2</f>
        <v>1100</v>
      </c>
      <c r="E19" s="26">
        <f>C19*3</f>
        <v>1650</v>
      </c>
      <c r="F19" s="26">
        <f>C19*4</f>
        <v>2200</v>
      </c>
      <c r="G19" s="26">
        <f>C19*5</f>
        <v>2750</v>
      </c>
      <c r="H19" s="26">
        <f>C19*6</f>
        <v>3300</v>
      </c>
      <c r="I19" s="26">
        <f>C19*7</f>
        <v>3850</v>
      </c>
      <c r="J19" s="26">
        <f>C19*8</f>
        <v>4400</v>
      </c>
      <c r="K19" s="26">
        <f>C19*9</f>
        <v>4950</v>
      </c>
      <c r="L19" s="26">
        <f>C19*10</f>
        <v>5500</v>
      </c>
      <c r="M19" s="26">
        <f>C19*11</f>
        <v>6050</v>
      </c>
      <c r="N19" s="26">
        <f>C19*12</f>
        <v>6600</v>
      </c>
      <c r="O19" s="26">
        <f>C19*13</f>
        <v>7150</v>
      </c>
      <c r="P19" s="26">
        <f>C19*14</f>
        <v>7700</v>
      </c>
      <c r="Q19" s="26">
        <f>C19*15</f>
        <v>8250</v>
      </c>
      <c r="R19" s="26">
        <f>C19*16</f>
        <v>8800</v>
      </c>
      <c r="S19" s="26">
        <f>C19*17</f>
        <v>9350</v>
      </c>
      <c r="T19" s="26">
        <f>C19*18</f>
        <v>9900</v>
      </c>
      <c r="U19" s="26">
        <f>C19*19</f>
        <v>10450</v>
      </c>
      <c r="V19" s="26">
        <f>C19*20</f>
        <v>11000</v>
      </c>
      <c r="W19" s="26">
        <f>C19*21</f>
        <v>11550</v>
      </c>
      <c r="X19" s="26">
        <f>C19*22</f>
        <v>12100</v>
      </c>
      <c r="Y19" s="26">
        <f>C19*23</f>
        <v>12650</v>
      </c>
      <c r="Z19" s="29">
        <f>C19*24</f>
        <v>13200</v>
      </c>
      <c r="AA19" s="22"/>
      <c r="AB19" s="2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</row>
    <row r="20" ht="25.5" customHeight="1">
      <c r="A20" s="23"/>
      <c r="B20" s="20" t="s">
        <v>39</v>
      </c>
      <c r="C20" s="27">
        <v>1200.0</v>
      </c>
      <c r="D20" s="27">
        <v>1200.0</v>
      </c>
      <c r="E20" s="27">
        <v>1200.0</v>
      </c>
      <c r="F20" s="27">
        <v>1200.0</v>
      </c>
      <c r="G20" s="27">
        <v>1200.0</v>
      </c>
      <c r="H20" s="27">
        <v>1200.0</v>
      </c>
      <c r="I20" s="27">
        <v>1200.0</v>
      </c>
      <c r="J20" s="27">
        <v>1200.0</v>
      </c>
      <c r="K20" s="27">
        <v>1200.0</v>
      </c>
      <c r="L20" s="27">
        <v>1200.0</v>
      </c>
      <c r="M20" s="27">
        <v>1200.0</v>
      </c>
      <c r="N20" s="27">
        <v>1200.0</v>
      </c>
      <c r="O20" s="27">
        <v>1200.0</v>
      </c>
      <c r="P20" s="27">
        <v>1200.0</v>
      </c>
      <c r="Q20" s="27">
        <v>1200.0</v>
      </c>
      <c r="R20" s="27">
        <v>1200.0</v>
      </c>
      <c r="S20" s="27">
        <v>1200.0</v>
      </c>
      <c r="T20" s="27">
        <v>1200.0</v>
      </c>
      <c r="U20" s="27">
        <v>1200.0</v>
      </c>
      <c r="V20" s="27">
        <v>1200.0</v>
      </c>
      <c r="W20" s="27">
        <v>1200.0</v>
      </c>
      <c r="X20" s="27">
        <v>1200.0</v>
      </c>
      <c r="Y20" s="27">
        <v>1200.0</v>
      </c>
      <c r="Z20" s="27">
        <v>1200.0</v>
      </c>
      <c r="AA20" s="22"/>
      <c r="AB20" s="2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</row>
    <row r="21" ht="25.5" customHeight="1">
      <c r="A21" s="30"/>
      <c r="B21" s="31" t="s">
        <v>40</v>
      </c>
      <c r="C21" s="32">
        <f t="shared" ref="C21:Z21" si="2">SUM(C11:C20)</f>
        <v>17400</v>
      </c>
      <c r="D21" s="32">
        <f t="shared" si="2"/>
        <v>18900</v>
      </c>
      <c r="E21" s="32">
        <f t="shared" si="2"/>
        <v>21400</v>
      </c>
      <c r="F21" s="32">
        <f t="shared" si="2"/>
        <v>22900</v>
      </c>
      <c r="G21" s="32">
        <f t="shared" si="2"/>
        <v>29540</v>
      </c>
      <c r="H21" s="32">
        <f t="shared" si="2"/>
        <v>31040</v>
      </c>
      <c r="I21" s="32">
        <f t="shared" si="2"/>
        <v>32540</v>
      </c>
      <c r="J21" s="32">
        <f t="shared" si="2"/>
        <v>35040</v>
      </c>
      <c r="K21" s="32">
        <f t="shared" si="2"/>
        <v>47460</v>
      </c>
      <c r="L21" s="32">
        <f t="shared" si="2"/>
        <v>48960</v>
      </c>
      <c r="M21" s="32">
        <f t="shared" si="2"/>
        <v>50460</v>
      </c>
      <c r="N21" s="32">
        <f t="shared" si="2"/>
        <v>52960</v>
      </c>
      <c r="O21" s="32">
        <f t="shared" si="2"/>
        <v>58900</v>
      </c>
      <c r="P21" s="32">
        <f t="shared" si="2"/>
        <v>60400</v>
      </c>
      <c r="Q21" s="32">
        <f t="shared" si="2"/>
        <v>61900</v>
      </c>
      <c r="R21" s="32">
        <f t="shared" si="2"/>
        <v>63400</v>
      </c>
      <c r="S21" s="32">
        <f t="shared" si="2"/>
        <v>69850</v>
      </c>
      <c r="T21" s="32">
        <f t="shared" si="2"/>
        <v>71350</v>
      </c>
      <c r="U21" s="32">
        <f t="shared" si="2"/>
        <v>72850</v>
      </c>
      <c r="V21" s="32">
        <f t="shared" si="2"/>
        <v>74350</v>
      </c>
      <c r="W21" s="32">
        <f t="shared" si="2"/>
        <v>81300</v>
      </c>
      <c r="X21" s="32">
        <f t="shared" si="2"/>
        <v>82800</v>
      </c>
      <c r="Y21" s="32">
        <f t="shared" si="2"/>
        <v>84300</v>
      </c>
      <c r="Z21" s="32">
        <f t="shared" si="2"/>
        <v>85800</v>
      </c>
      <c r="AA21" s="22"/>
      <c r="AB21" s="2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</row>
    <row r="22" ht="18.0" customHeight="1">
      <c r="A22" s="33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ht="24.75" customHeight="1">
      <c r="A23" s="34" t="s">
        <v>41</v>
      </c>
      <c r="B23" s="35"/>
      <c r="C23" s="35"/>
      <c r="D23" s="35"/>
      <c r="E23" s="35"/>
      <c r="F23" s="35"/>
      <c r="G23" s="35"/>
      <c r="H23" s="35"/>
      <c r="I23" s="35"/>
      <c r="J23" s="36"/>
      <c r="K23" s="37"/>
      <c r="L23" s="37"/>
      <c r="M23" s="37"/>
      <c r="N23" s="37"/>
      <c r="O23" s="38" t="s">
        <v>42</v>
      </c>
      <c r="P23" s="39"/>
      <c r="Q23" s="39"/>
      <c r="R23" s="39"/>
      <c r="S23" s="39"/>
      <c r="T23" s="39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</row>
    <row r="24" ht="28.5" customHeight="1">
      <c r="A24" s="40" t="s">
        <v>36</v>
      </c>
      <c r="B24" s="41" t="s">
        <v>43</v>
      </c>
      <c r="C24" s="42"/>
      <c r="D24" s="42"/>
      <c r="E24" s="42"/>
      <c r="F24" s="42"/>
      <c r="G24" s="42"/>
      <c r="H24" s="42"/>
      <c r="I24" s="42"/>
      <c r="J24" s="43"/>
      <c r="K24" s="37"/>
      <c r="L24" s="37"/>
      <c r="M24" s="37"/>
      <c r="N24" s="37"/>
      <c r="O24" s="44" t="s">
        <v>44</v>
      </c>
      <c r="P24" s="45"/>
      <c r="Q24" s="44" t="s">
        <v>45</v>
      </c>
      <c r="R24" s="45"/>
      <c r="S24" s="44" t="s">
        <v>46</v>
      </c>
      <c r="T24" s="45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</row>
    <row r="25" ht="29.25" customHeight="1">
      <c r="A25" s="46"/>
      <c r="B25" s="47"/>
      <c r="C25" s="48"/>
      <c r="D25" s="48"/>
      <c r="E25" s="48"/>
      <c r="F25" s="48"/>
      <c r="G25" s="48"/>
      <c r="H25" s="48"/>
      <c r="I25" s="48"/>
      <c r="J25" s="49"/>
      <c r="K25" s="37"/>
      <c r="L25" s="37"/>
      <c r="M25" s="37"/>
      <c r="N25" s="37"/>
      <c r="O25" s="50" t="s">
        <v>47</v>
      </c>
      <c r="P25" s="45"/>
      <c r="Q25" s="51" t="s">
        <v>48</v>
      </c>
      <c r="R25" s="45"/>
      <c r="S25" s="52" t="s">
        <v>32</v>
      </c>
      <c r="T25" s="45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</row>
    <row r="26" ht="19.5" customHeight="1">
      <c r="A26" s="53"/>
      <c r="B26" s="54"/>
      <c r="C26" s="54"/>
      <c r="D26" s="54"/>
      <c r="E26" s="54"/>
      <c r="F26" s="54"/>
      <c r="G26" s="54"/>
      <c r="H26" s="54"/>
      <c r="I26" s="54"/>
      <c r="J26" s="54"/>
      <c r="K26" s="37"/>
      <c r="L26" s="37"/>
      <c r="M26" s="37"/>
      <c r="N26" s="37"/>
      <c r="O26" s="50" t="s">
        <v>49</v>
      </c>
      <c r="P26" s="45"/>
      <c r="Q26" s="55">
        <v>5140.0</v>
      </c>
      <c r="R26" s="45"/>
      <c r="S26" s="56">
        <f>Q26</f>
        <v>5140</v>
      </c>
      <c r="T26" s="45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</row>
    <row r="27" ht="19.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50" t="s">
        <v>50</v>
      </c>
      <c r="P27" s="45"/>
      <c r="Q27" s="55">
        <v>6920.0</v>
      </c>
      <c r="R27" s="45"/>
      <c r="S27" s="56">
        <f>Q26+Q27</f>
        <v>12060</v>
      </c>
      <c r="T27" s="45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</row>
    <row r="28" ht="19.5" customHeight="1">
      <c r="A28" s="57" t="s">
        <v>51</v>
      </c>
      <c r="K28" s="37"/>
      <c r="L28" s="37"/>
      <c r="M28" s="37"/>
      <c r="N28" s="37"/>
      <c r="O28" s="50" t="s">
        <v>52</v>
      </c>
      <c r="P28" s="45"/>
      <c r="Q28" s="55">
        <v>4440.0</v>
      </c>
      <c r="R28" s="45"/>
      <c r="S28" s="56">
        <f>Q26+Q27+Q28</f>
        <v>16500</v>
      </c>
      <c r="T28" s="45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</row>
    <row r="29" ht="19.5" customHeight="1">
      <c r="A29" s="58" t="s">
        <v>53</v>
      </c>
      <c r="B29" s="59">
        <v>200.0</v>
      </c>
      <c r="C29" s="60" t="s">
        <v>54</v>
      </c>
      <c r="D29" s="61"/>
      <c r="E29" s="62">
        <v>120.0</v>
      </c>
      <c r="F29" s="63"/>
      <c r="G29" s="37"/>
      <c r="H29" s="37"/>
      <c r="I29" s="37"/>
      <c r="J29" s="37"/>
      <c r="K29" s="37"/>
      <c r="L29" s="37"/>
      <c r="M29" s="37"/>
      <c r="N29" s="37"/>
      <c r="O29" s="50" t="s">
        <v>55</v>
      </c>
      <c r="P29" s="45"/>
      <c r="Q29" s="55">
        <v>4950.0</v>
      </c>
      <c r="R29" s="45"/>
      <c r="S29" s="56">
        <f>Q26+Q27+Q28+Q29</f>
        <v>21450</v>
      </c>
      <c r="T29" s="45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</row>
    <row r="30" ht="19.5" customHeight="1">
      <c r="A30" s="64" t="s">
        <v>56</v>
      </c>
      <c r="B30" s="65">
        <v>250.0</v>
      </c>
      <c r="C30" s="66" t="s">
        <v>57</v>
      </c>
      <c r="D30" s="67"/>
      <c r="E30" s="68">
        <v>80.0</v>
      </c>
      <c r="F30" s="69"/>
      <c r="G30" s="37"/>
      <c r="H30" s="37"/>
      <c r="I30" s="37"/>
      <c r="J30" s="37"/>
      <c r="K30" s="37"/>
      <c r="L30" s="37"/>
      <c r="M30" s="37"/>
      <c r="N30" s="37"/>
      <c r="O30" s="50" t="s">
        <v>58</v>
      </c>
      <c r="P30" s="45"/>
      <c r="Q30" s="55">
        <v>5450.0</v>
      </c>
      <c r="R30" s="45"/>
      <c r="S30" s="56">
        <f>Q26+Q27+Q28+Q29+Q30</f>
        <v>26900</v>
      </c>
      <c r="T30" s="45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</row>
    <row r="31" ht="19.5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</row>
    <row r="32" ht="19.5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</row>
    <row r="33" ht="19.5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</row>
    <row r="34" ht="19.5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</row>
    <row r="35" ht="19.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</row>
    <row r="36" ht="19.5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</row>
    <row r="37" ht="19.5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</row>
    <row r="38" ht="15.0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</row>
    <row r="39" ht="15.0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</row>
    <row r="40" ht="15.0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</row>
    <row r="41" ht="15.0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</row>
    <row r="42" ht="15.0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</row>
    <row r="43" ht="15.0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</row>
    <row r="44" ht="15.0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</row>
    <row r="45" ht="15.0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</row>
    <row r="46" ht="15.0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</row>
    <row r="47" ht="15.0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</row>
    <row r="48" ht="15.0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</row>
    <row r="49" ht="15.0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</row>
    <row r="50" ht="15.0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</row>
    <row r="51" ht="15.0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</row>
    <row r="52" ht="15.0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</row>
    <row r="53" ht="15.0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</row>
    <row r="54" ht="15.0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</row>
    <row r="55" ht="15.0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</row>
    <row r="56" ht="15.0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</row>
    <row r="57" ht="15.0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</row>
    <row r="58" ht="15.0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</row>
    <row r="59" ht="15.0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</row>
    <row r="60" ht="15.0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</row>
    <row r="61" ht="15.0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</row>
    <row r="62" ht="15.0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</row>
    <row r="63" ht="15.0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</row>
    <row r="64" ht="15.0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</row>
    <row r="65" ht="15.0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</row>
    <row r="66" ht="15.0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</row>
    <row r="67" ht="15.0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</row>
    <row r="68" ht="15.0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</row>
    <row r="69" ht="15.0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</row>
    <row r="70" ht="15.0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</row>
    <row r="71" ht="15.0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</row>
    <row r="72" ht="15.0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</row>
    <row r="73" ht="15.0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</row>
    <row r="74" ht="15.0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</row>
    <row r="75" ht="15.0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</row>
    <row r="76" ht="15.0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</row>
    <row r="77" ht="15.0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</row>
    <row r="78" ht="15.0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</row>
    <row r="79" ht="15.0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</row>
    <row r="80" ht="15.0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</row>
    <row r="81" ht="15.0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</row>
    <row r="82" ht="15.0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</row>
    <row r="83" ht="15.0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</row>
    <row r="84" ht="15.0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</row>
    <row r="85" ht="15.0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</row>
    <row r="86" ht="15.0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</row>
    <row r="87" ht="15.0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</row>
    <row r="88" ht="15.0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</row>
    <row r="89" ht="15.0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</row>
    <row r="90" ht="15.0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</row>
    <row r="91" ht="15.0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</row>
    <row r="92" ht="15.0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</row>
    <row r="93" ht="15.0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</row>
    <row r="94" ht="15.0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</row>
    <row r="95" ht="15.0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</row>
    <row r="96" ht="15.0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</row>
    <row r="97" ht="15.0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</row>
    <row r="98" ht="15.0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</row>
    <row r="99" ht="15.0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</row>
    <row r="100" ht="15.0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</row>
    <row r="101" ht="15.0" customHeigh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</row>
    <row r="102" ht="15.0" customHeight="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</row>
    <row r="103" ht="15.75" customHeight="1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ht="15.75" customHeight="1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ht="15.75" customHeight="1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ht="15.75" customHeight="1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ht="15.75" customHeight="1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ht="15.75" customHeight="1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ht="15.75" customHeight="1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ht="15.75" customHeight="1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ht="15.75" customHeight="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ht="15.75" customHeight="1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ht="15.75" customHeight="1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ht="15.75" customHeight="1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ht="15.75" customHeight="1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ht="15.75" customHeight="1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ht="15.75" customHeight="1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ht="15.75" customHeight="1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ht="15.75" customHeight="1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ht="15.75" customHeight="1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ht="15.75" customHeight="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ht="15.75" customHeight="1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ht="15.75" customHeight="1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ht="15.75" customHeight="1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ht="15.75" customHeight="1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ht="15.75" customHeight="1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ht="15.75" customHeight="1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ht="15.75" customHeight="1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ht="15.75" customHeight="1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ht="15.75" customHeight="1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ht="15.75" customHeight="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ht="15.75" customHeight="1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ht="15.75" customHeight="1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ht="15.75" customHeight="1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ht="15.75" customHeight="1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ht="15.75" customHeight="1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ht="15.75" customHeight="1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ht="15.75" customHeight="1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ht="15.75" customHeight="1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ht="15.75" customHeight="1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ht="15.75" customHeight="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ht="15.75" customHeight="1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ht="15.75" customHeight="1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ht="15.75" customHeight="1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ht="15.75" customHeight="1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ht="15.75" customHeight="1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ht="15.75" customHeight="1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ht="15.75" customHeight="1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ht="15.75" customHeight="1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ht="15.75" customHeight="1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ht="15.75" customHeight="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ht="15.75" customHeight="1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ht="15.75" customHeight="1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ht="15.75" customHeight="1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ht="15.75" customHeight="1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ht="15.75" customHeight="1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ht="15.75" customHeight="1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ht="15.75" customHeight="1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ht="15.75" customHeight="1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ht="15.75" customHeight="1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ht="15.75" customHeight="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ht="15.75" customHeight="1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ht="15.75" customHeight="1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ht="15.75" customHeight="1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ht="15.75" customHeight="1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ht="15.75" customHeight="1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ht="15.75" customHeight="1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ht="15.75" customHeight="1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ht="15.75" customHeight="1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ht="15.75" customHeight="1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ht="15.75" customHeight="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ht="15.75" customHeight="1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ht="15.75" customHeight="1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ht="15.75" customHeight="1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ht="15.75" customHeight="1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ht="15.75" customHeight="1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ht="15.75" customHeight="1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ht="15.75" customHeight="1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ht="15.75" customHeight="1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ht="15.75" customHeight="1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ht="15.75" customHeight="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ht="15.75" customHeight="1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ht="15.75" customHeight="1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ht="15.75" customHeight="1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ht="15.75" customHeight="1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ht="15.75" customHeight="1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ht="15.75" customHeight="1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ht="15.75" customHeight="1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ht="15.75" customHeight="1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ht="15.75" customHeight="1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ht="15.75" customHeight="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ht="15.75" customHeight="1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ht="15.75" customHeight="1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ht="15.75" customHeight="1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ht="15.75" customHeight="1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ht="15.75" customHeight="1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ht="15.75" customHeight="1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ht="15.75" customHeight="1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ht="15.75" customHeight="1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ht="15.75" customHeight="1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ht="15.75" customHeight="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ht="15.75" customHeight="1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ht="15.75" customHeight="1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ht="15.75" customHeight="1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ht="15.75" customHeight="1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ht="15.75" customHeight="1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ht="15.75" customHeight="1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ht="15.75" customHeight="1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ht="15.75" customHeight="1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ht="15.75" customHeight="1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ht="15.75" customHeight="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ht="15.75" customHeight="1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ht="15.75" customHeight="1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ht="15.75" customHeight="1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ht="15.75" customHeight="1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ht="15.75" customHeight="1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ht="15.75" customHeight="1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ht="15.75" customHeight="1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ht="15.75" customHeight="1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ht="15.75" customHeight="1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ht="15.75" customHeight="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ht="15.75" customHeight="1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ht="15.75" customHeight="1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ht="15.75" customHeight="1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ht="15.75" customHeight="1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ht="15.75" customHeight="1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ht="15.75" customHeight="1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ht="15.75" customHeight="1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ht="15.75" customHeight="1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ht="15.75" customHeight="1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ht="15.75" customHeight="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ht="15.75" customHeight="1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ht="15.75" customHeight="1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ht="15.75" customHeight="1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ht="15.75" customHeight="1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ht="15.75" customHeight="1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ht="15.75" customHeight="1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ht="15.75" customHeight="1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ht="15.75" customHeight="1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ht="15.75" customHeight="1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</row>
    <row r="242" ht="15.75" customHeight="1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</row>
    <row r="243" ht="15.75" customHeight="1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ht="15.75" customHeight="1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</row>
    <row r="245" ht="15.75" customHeight="1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</row>
    <row r="246" ht="15.75" customHeight="1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</row>
    <row r="247" ht="15.75" customHeight="1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</row>
    <row r="248" ht="15.75" customHeight="1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</row>
    <row r="249" ht="15.75" customHeight="1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</row>
    <row r="250" ht="15.75" customHeight="1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</row>
    <row r="251" ht="15.75" customHeight="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</row>
    <row r="252" ht="15.75" customHeight="1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</row>
    <row r="253" ht="15.75" customHeight="1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</row>
    <row r="254" ht="15.75" customHeight="1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</row>
    <row r="255" ht="15.75" customHeight="1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</row>
    <row r="256" ht="15.75" customHeight="1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</row>
    <row r="257" ht="15.75" customHeight="1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</row>
    <row r="258" ht="15.75" customHeight="1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</row>
    <row r="259" ht="15.75" customHeight="1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</row>
    <row r="260" ht="15.75" customHeight="1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</row>
    <row r="261" ht="15.75" customHeight="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</row>
    <row r="262" ht="15.75" customHeight="1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</row>
    <row r="263" ht="15.75" customHeight="1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</row>
    <row r="264" ht="15.75" customHeight="1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</row>
    <row r="265" ht="15.75" customHeight="1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</row>
    <row r="266" ht="15.75" customHeight="1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</row>
    <row r="267" ht="15.75" customHeight="1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</row>
    <row r="268" ht="15.75" customHeight="1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</row>
    <row r="269" ht="15.75" customHeight="1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</row>
    <row r="270" ht="15.75" customHeight="1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</row>
    <row r="271" ht="15.75" customHeight="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</row>
    <row r="272" ht="15.75" customHeight="1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</row>
    <row r="273" ht="15.75" customHeight="1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</row>
    <row r="274" ht="15.75" customHeight="1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</row>
    <row r="275" ht="15.75" customHeight="1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</row>
    <row r="276" ht="15.75" customHeight="1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</row>
    <row r="277" ht="15.75" customHeight="1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</row>
    <row r="278" ht="15.75" customHeight="1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</row>
    <row r="279" ht="15.75" customHeight="1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</row>
    <row r="280" ht="15.75" customHeight="1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</row>
    <row r="281" ht="15.75" customHeight="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</row>
    <row r="282" ht="15.75" customHeight="1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</row>
    <row r="283" ht="15.75" customHeight="1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</row>
    <row r="284" ht="15.75" customHeight="1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</row>
    <row r="285" ht="15.75" customHeight="1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</row>
    <row r="286" ht="15.75" customHeight="1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</row>
    <row r="287" ht="15.75" customHeight="1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</row>
    <row r="288" ht="15.75" customHeight="1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</row>
    <row r="289" ht="15.75" customHeight="1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</row>
    <row r="290" ht="15.75" customHeight="1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</row>
    <row r="291" ht="15.75" customHeight="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</row>
    <row r="292" ht="15.75" customHeight="1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</row>
    <row r="293" ht="15.75" customHeight="1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</row>
    <row r="294" ht="15.75" customHeight="1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</row>
    <row r="295" ht="15.75" customHeight="1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</row>
    <row r="296" ht="15.75" customHeight="1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</row>
    <row r="297" ht="15.75" customHeight="1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</row>
    <row r="298" ht="15.75" customHeight="1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</row>
    <row r="299" ht="15.75" customHeight="1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</row>
    <row r="300" ht="15.75" customHeight="1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</row>
    <row r="301" ht="15.75" customHeight="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</row>
    <row r="302" ht="15.75" customHeight="1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</row>
    <row r="303" ht="15.75" customHeight="1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</row>
    <row r="304" ht="15.75" customHeight="1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</row>
    <row r="305" ht="15.75" customHeight="1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</row>
    <row r="306" ht="15.75" customHeight="1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</row>
    <row r="307" ht="15.75" customHeight="1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</row>
    <row r="308" ht="15.75" customHeight="1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</row>
    <row r="309" ht="15.75" customHeight="1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</row>
    <row r="310" ht="15.75" customHeight="1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</row>
    <row r="311" ht="15.75" customHeight="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ht="15.75" customHeight="1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</row>
    <row r="313" ht="15.75" customHeight="1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</row>
    <row r="314" ht="15.75" customHeight="1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</row>
    <row r="315" ht="15.75" customHeight="1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</row>
    <row r="316" ht="15.75" customHeight="1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</row>
    <row r="317" ht="15.75" customHeight="1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</row>
    <row r="318" ht="15.75" customHeight="1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</row>
    <row r="319" ht="15.75" customHeight="1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</row>
    <row r="320" ht="15.75" customHeight="1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</row>
    <row r="321" ht="15.75" customHeight="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</row>
    <row r="322" ht="15.75" customHeight="1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</row>
    <row r="323" ht="15.75" customHeight="1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</row>
    <row r="324" ht="15.75" customHeight="1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</row>
    <row r="325" ht="15.75" customHeight="1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</row>
    <row r="326" ht="15.75" customHeight="1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</row>
    <row r="327" ht="15.75" customHeight="1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</row>
    <row r="328" ht="15.75" customHeight="1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</row>
    <row r="329" ht="15.75" customHeight="1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</row>
    <row r="330" ht="15.75" customHeight="1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</row>
    <row r="331" ht="15.75" customHeight="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</row>
    <row r="332" ht="15.75" customHeight="1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</row>
    <row r="333" ht="15.75" customHeight="1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</row>
    <row r="334" ht="15.75" customHeight="1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</row>
    <row r="335" ht="15.75" customHeight="1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</row>
    <row r="336" ht="15.75" customHeight="1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</row>
    <row r="337" ht="15.75" customHeight="1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</row>
    <row r="338" ht="15.75" customHeight="1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</row>
    <row r="339" ht="15.75" customHeight="1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</row>
    <row r="340" ht="15.75" customHeight="1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</row>
    <row r="341" ht="15.75" customHeight="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</row>
    <row r="342" ht="15.75" customHeight="1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</row>
    <row r="343" ht="15.75" customHeight="1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</row>
    <row r="344" ht="15.75" customHeight="1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</row>
    <row r="345" ht="15.75" customHeight="1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</row>
    <row r="346" ht="15.75" customHeight="1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</row>
    <row r="347" ht="15.75" customHeight="1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</row>
    <row r="348" ht="15.75" customHeight="1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</row>
    <row r="349" ht="15.75" customHeight="1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</row>
    <row r="350" ht="15.75" customHeight="1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</row>
    <row r="351" ht="15.75" customHeight="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</row>
    <row r="352" ht="15.75" customHeight="1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</row>
    <row r="353" ht="15.75" customHeight="1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</row>
    <row r="354" ht="15.75" customHeight="1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</row>
    <row r="355" ht="15.75" customHeight="1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</row>
    <row r="356" ht="15.75" customHeight="1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</row>
    <row r="357" ht="15.75" customHeight="1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</row>
    <row r="358" ht="15.75" customHeight="1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</row>
    <row r="359" ht="15.75" customHeight="1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</row>
    <row r="360" ht="15.75" customHeight="1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</row>
    <row r="361" ht="15.75" customHeight="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</row>
    <row r="362" ht="15.75" customHeight="1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</row>
    <row r="363" ht="15.75" customHeight="1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</row>
    <row r="364" ht="15.75" customHeight="1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</row>
    <row r="365" ht="15.75" customHeight="1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</row>
    <row r="366" ht="15.75" customHeight="1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</row>
    <row r="367" ht="15.75" customHeight="1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</row>
    <row r="368" ht="15.75" customHeight="1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</row>
    <row r="369" ht="15.75" customHeight="1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</row>
    <row r="370" ht="15.75" customHeight="1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</row>
    <row r="371" ht="15.75" customHeight="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</row>
    <row r="372" ht="15.75" customHeight="1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</row>
    <row r="373" ht="15.75" customHeight="1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</row>
    <row r="374" ht="15.75" customHeight="1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</row>
    <row r="375" ht="15.75" customHeight="1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</row>
    <row r="376" ht="15.75" customHeight="1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</row>
    <row r="377" ht="15.75" customHeight="1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</row>
    <row r="378" ht="15.75" customHeight="1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</row>
    <row r="379" ht="15.75" customHeight="1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</row>
    <row r="380" ht="15.75" customHeight="1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</row>
    <row r="381" ht="15.75" customHeight="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</row>
    <row r="382" ht="15.75" customHeight="1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</row>
    <row r="383" ht="15.75" customHeight="1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</row>
    <row r="384" ht="15.75" customHeight="1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</row>
    <row r="385" ht="15.75" customHeight="1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</row>
    <row r="386" ht="15.75" customHeight="1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</row>
    <row r="387" ht="15.75" customHeight="1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</row>
    <row r="388" ht="15.75" customHeight="1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</row>
    <row r="389" ht="15.75" customHeight="1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</row>
    <row r="390" ht="15.75" customHeight="1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</row>
    <row r="391" ht="15.75" customHeight="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</row>
    <row r="392" ht="15.75" customHeight="1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</row>
    <row r="393" ht="15.75" customHeight="1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</row>
    <row r="394" ht="15.75" customHeight="1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</row>
    <row r="395" ht="15.75" customHeight="1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</row>
    <row r="396" ht="15.75" customHeight="1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</row>
    <row r="397" ht="15.75" customHeight="1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</row>
    <row r="398" ht="15.75" customHeight="1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</row>
    <row r="399" ht="15.75" customHeight="1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</row>
    <row r="400" ht="15.75" customHeight="1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</row>
    <row r="401" ht="15.75" customHeight="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</row>
    <row r="402" ht="15.75" customHeight="1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</row>
    <row r="403" ht="15.75" customHeight="1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</row>
    <row r="404" ht="15.75" customHeight="1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</row>
    <row r="405" ht="15.75" customHeight="1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</row>
    <row r="406" ht="15.75" customHeight="1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</row>
    <row r="407" ht="15.75" customHeight="1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</row>
    <row r="408" ht="15.75" customHeight="1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</row>
    <row r="409" ht="15.75" customHeight="1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</row>
    <row r="410" ht="15.75" customHeight="1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</row>
    <row r="411" ht="15.75" customHeight="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</row>
    <row r="412" ht="15.75" customHeight="1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</row>
    <row r="413" ht="15.75" customHeight="1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</row>
    <row r="414" ht="15.75" customHeight="1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</row>
    <row r="415" ht="15.75" customHeight="1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</row>
    <row r="416" ht="15.75" customHeight="1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</row>
    <row r="417" ht="15.75" customHeight="1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</row>
    <row r="418" ht="15.75" customHeight="1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</row>
    <row r="419" ht="15.75" customHeight="1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</row>
    <row r="420" ht="15.75" customHeight="1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</row>
    <row r="421" ht="15.75" customHeight="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</row>
    <row r="422" ht="15.75" customHeight="1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</row>
    <row r="423" ht="15.75" customHeight="1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</row>
    <row r="424" ht="15.75" customHeight="1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</row>
    <row r="425" ht="15.75" customHeight="1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</row>
    <row r="426" ht="15.75" customHeight="1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</row>
    <row r="427" ht="15.75" customHeight="1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</row>
    <row r="428" ht="15.75" customHeight="1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</row>
    <row r="429" ht="15.75" customHeight="1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</row>
    <row r="430" ht="15.75" customHeight="1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</row>
    <row r="431" ht="15.75" customHeight="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</row>
    <row r="432" ht="15.75" customHeight="1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</row>
    <row r="433" ht="15.75" customHeight="1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</row>
    <row r="434" ht="15.75" customHeight="1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</row>
    <row r="435" ht="15.75" customHeight="1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</row>
    <row r="436" ht="15.75" customHeight="1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</row>
    <row r="437" ht="15.75" customHeight="1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</row>
    <row r="438" ht="15.75" customHeight="1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</row>
    <row r="439" ht="15.75" customHeight="1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</row>
    <row r="440" ht="15.75" customHeight="1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</row>
    <row r="441" ht="15.75" customHeight="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</row>
    <row r="442" ht="15.75" customHeight="1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</row>
    <row r="443" ht="15.75" customHeight="1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</row>
    <row r="444" ht="15.75" customHeight="1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</row>
    <row r="445" ht="15.75" customHeight="1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</row>
    <row r="446" ht="15.75" customHeight="1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</row>
    <row r="447" ht="15.75" customHeight="1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</row>
    <row r="448" ht="15.75" customHeight="1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</row>
    <row r="449" ht="15.75" customHeight="1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</row>
    <row r="450" ht="15.75" customHeight="1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</row>
    <row r="451" ht="15.75" customHeight="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</row>
    <row r="452" ht="15.75" customHeight="1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</row>
    <row r="453" ht="15.75" customHeight="1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</row>
    <row r="454" ht="15.75" customHeight="1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</row>
    <row r="455" ht="15.75" customHeight="1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</row>
    <row r="456" ht="15.75" customHeight="1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</row>
    <row r="457" ht="15.75" customHeight="1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</row>
    <row r="458" ht="15.75" customHeight="1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</row>
    <row r="459" ht="15.75" customHeight="1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</row>
    <row r="460" ht="15.75" customHeight="1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</row>
    <row r="461" ht="15.75" customHeight="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</row>
    <row r="462" ht="15.75" customHeight="1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</row>
    <row r="463" ht="15.75" customHeight="1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</row>
    <row r="464" ht="15.75" customHeight="1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</row>
    <row r="465" ht="15.75" customHeight="1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</row>
    <row r="466" ht="15.75" customHeight="1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</row>
    <row r="467" ht="15.75" customHeight="1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</row>
    <row r="468" ht="15.75" customHeight="1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</row>
    <row r="469" ht="15.75" customHeight="1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</row>
    <row r="470" ht="15.75" customHeight="1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</row>
    <row r="471" ht="15.75" customHeight="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</row>
    <row r="472" ht="15.75" customHeight="1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</row>
    <row r="473" ht="15.75" customHeight="1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</row>
    <row r="474" ht="15.75" customHeight="1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</row>
    <row r="475" ht="15.75" customHeight="1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</row>
    <row r="476" ht="15.75" customHeight="1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</row>
    <row r="477" ht="15.75" customHeight="1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</row>
    <row r="478" ht="15.75" customHeight="1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</row>
    <row r="479" ht="15.75" customHeight="1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</row>
    <row r="480" ht="15.75" customHeight="1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</row>
    <row r="481" ht="15.75" customHeight="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</row>
    <row r="482" ht="15.75" customHeight="1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</row>
    <row r="483" ht="15.75" customHeight="1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</row>
    <row r="484" ht="15.75" customHeight="1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</row>
    <row r="485" ht="15.75" customHeight="1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</row>
    <row r="486" ht="15.75" customHeight="1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</row>
    <row r="487" ht="15.75" customHeight="1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</row>
    <row r="488" ht="15.75" customHeight="1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</row>
    <row r="489" ht="15.75" customHeight="1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</row>
    <row r="490" ht="15.75" customHeight="1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</row>
    <row r="491" ht="15.75" customHeight="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</row>
    <row r="492" ht="15.75" customHeight="1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</row>
    <row r="493" ht="15.75" customHeight="1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</row>
    <row r="494" ht="15.75" customHeight="1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</row>
    <row r="495" ht="15.75" customHeight="1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</row>
    <row r="496" ht="15.75" customHeight="1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</row>
    <row r="497" ht="15.75" customHeight="1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</row>
    <row r="498" ht="15.75" customHeight="1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</row>
    <row r="499" ht="15.75" customHeight="1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</row>
    <row r="500" ht="15.75" customHeight="1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</row>
    <row r="501" ht="15.75" customHeight="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</row>
    <row r="502" ht="15.75" customHeight="1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</row>
    <row r="503" ht="15.75" customHeight="1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</row>
    <row r="504" ht="15.75" customHeight="1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</row>
    <row r="505" ht="15.75" customHeight="1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</row>
    <row r="506" ht="15.75" customHeight="1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</row>
    <row r="507" ht="15.75" customHeight="1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</row>
    <row r="508" ht="15.75" customHeight="1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</row>
    <row r="509" ht="15.75" customHeight="1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</row>
    <row r="510" ht="15.75" customHeight="1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</row>
    <row r="511" ht="15.75" customHeight="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</row>
    <row r="512" ht="15.75" customHeight="1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</row>
    <row r="513" ht="15.75" customHeight="1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</row>
    <row r="514" ht="15.75" customHeight="1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</row>
    <row r="515" ht="15.75" customHeight="1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</row>
    <row r="516" ht="15.75" customHeight="1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</row>
    <row r="517" ht="15.75" customHeight="1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</row>
    <row r="518" ht="15.75" customHeight="1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</row>
    <row r="519" ht="15.75" customHeight="1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</row>
    <row r="520" ht="15.75" customHeight="1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</row>
    <row r="521" ht="15.75" customHeight="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</row>
    <row r="522" ht="15.75" customHeight="1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</row>
    <row r="523" ht="15.75" customHeight="1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</row>
    <row r="524" ht="15.75" customHeight="1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</row>
    <row r="525" ht="15.75" customHeight="1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</row>
    <row r="526" ht="15.75" customHeight="1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</row>
    <row r="527" ht="15.75" customHeight="1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</row>
    <row r="528" ht="15.75" customHeight="1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</row>
    <row r="529" ht="15.75" customHeight="1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</row>
    <row r="530" ht="15.75" customHeight="1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</row>
    <row r="531" ht="15.75" customHeight="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</row>
    <row r="532" ht="15.75" customHeight="1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</row>
    <row r="533" ht="15.75" customHeight="1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</row>
    <row r="534" ht="15.75" customHeight="1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</row>
    <row r="535" ht="15.75" customHeight="1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</row>
    <row r="536" ht="15.75" customHeight="1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</row>
    <row r="537" ht="15.75" customHeight="1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</row>
    <row r="538" ht="15.75" customHeight="1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</row>
    <row r="539" ht="15.75" customHeight="1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</row>
    <row r="540" ht="15.75" customHeight="1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</row>
    <row r="541" ht="15.75" customHeight="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</row>
    <row r="542" ht="15.75" customHeight="1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</row>
    <row r="543" ht="15.75" customHeight="1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</row>
    <row r="544" ht="15.75" customHeight="1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</row>
    <row r="545" ht="15.75" customHeight="1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</row>
    <row r="546" ht="15.75" customHeight="1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</row>
    <row r="547" ht="15.75" customHeight="1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</row>
    <row r="548" ht="15.75" customHeight="1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</row>
    <row r="549" ht="15.75" customHeight="1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</row>
    <row r="550" ht="15.75" customHeight="1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</row>
    <row r="551" ht="15.75" customHeight="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</row>
    <row r="552" ht="15.75" customHeight="1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</row>
    <row r="553" ht="15.75" customHeight="1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</row>
    <row r="554" ht="15.75" customHeight="1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</row>
    <row r="555" ht="15.75" customHeight="1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</row>
    <row r="556" ht="15.75" customHeight="1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</row>
    <row r="557" ht="15.75" customHeight="1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</row>
    <row r="558" ht="15.75" customHeight="1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</row>
    <row r="559" ht="15.75" customHeight="1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</row>
    <row r="560" ht="15.75" customHeight="1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</row>
    <row r="561" ht="15.75" customHeight="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</row>
    <row r="562" ht="15.75" customHeight="1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</row>
    <row r="563" ht="15.75" customHeight="1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</row>
    <row r="564" ht="15.75" customHeight="1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</row>
    <row r="565" ht="15.75" customHeight="1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</row>
    <row r="566" ht="15.75" customHeight="1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</row>
    <row r="567" ht="15.75" customHeight="1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</row>
    <row r="568" ht="15.75" customHeight="1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</row>
    <row r="569" ht="15.75" customHeight="1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</row>
    <row r="570" ht="15.75" customHeight="1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</row>
    <row r="571" ht="15.75" customHeight="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</row>
    <row r="572" ht="15.75" customHeight="1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</row>
    <row r="573" ht="15.75" customHeight="1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</row>
    <row r="574" ht="15.75" customHeight="1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</row>
    <row r="575" ht="15.75" customHeight="1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</row>
    <row r="576" ht="15.75" customHeight="1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</row>
    <row r="577" ht="15.75" customHeight="1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</row>
    <row r="578" ht="15.75" customHeight="1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</row>
    <row r="579" ht="15.75" customHeight="1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</row>
    <row r="580" ht="15.75" customHeight="1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</row>
    <row r="581" ht="15.75" customHeight="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</row>
    <row r="582" ht="15.75" customHeight="1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</row>
    <row r="583" ht="15.75" customHeight="1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</row>
    <row r="584" ht="15.75" customHeight="1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</row>
    <row r="585" ht="15.75" customHeight="1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</row>
    <row r="586" ht="15.75" customHeight="1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</row>
    <row r="587" ht="15.75" customHeight="1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</row>
    <row r="588" ht="15.75" customHeight="1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</row>
    <row r="589" ht="15.75" customHeight="1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</row>
    <row r="590" ht="15.75" customHeight="1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</row>
    <row r="591" ht="15.75" customHeight="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</row>
    <row r="592" ht="15.75" customHeight="1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</row>
    <row r="593" ht="15.75" customHeight="1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</row>
    <row r="594" ht="15.75" customHeight="1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</row>
    <row r="595" ht="15.75" customHeight="1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</row>
    <row r="596" ht="15.75" customHeight="1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</row>
    <row r="597" ht="15.75" customHeight="1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</row>
    <row r="598" ht="15.75" customHeight="1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</row>
    <row r="599" ht="15.75" customHeight="1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</row>
    <row r="600" ht="15.75" customHeight="1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</row>
    <row r="601" ht="15.75" customHeight="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</row>
    <row r="602" ht="15.75" customHeight="1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</row>
    <row r="603" ht="15.75" customHeight="1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</row>
    <row r="604" ht="15.75" customHeight="1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</row>
    <row r="605" ht="15.75" customHeight="1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</row>
    <row r="606" ht="15.75" customHeight="1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</row>
    <row r="607" ht="15.75" customHeight="1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</row>
    <row r="608" ht="15.75" customHeight="1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</row>
    <row r="609" ht="15.75" customHeight="1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</row>
    <row r="610" ht="15.75" customHeight="1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</row>
    <row r="611" ht="15.75" customHeight="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</row>
    <row r="612" ht="15.75" customHeight="1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</row>
    <row r="613" ht="15.75" customHeight="1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</row>
    <row r="614" ht="15.75" customHeight="1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</row>
    <row r="615" ht="15.75" customHeight="1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</row>
    <row r="616" ht="15.75" customHeight="1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</row>
    <row r="617" ht="15.75" customHeight="1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</row>
    <row r="618" ht="15.75" customHeight="1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</row>
    <row r="619" ht="15.75" customHeight="1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</row>
    <row r="620" ht="15.75" customHeight="1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</row>
    <row r="621" ht="15.75" customHeight="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</row>
    <row r="622" ht="15.75" customHeight="1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</row>
    <row r="623" ht="15.75" customHeight="1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</row>
    <row r="624" ht="15.75" customHeight="1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</row>
    <row r="625" ht="15.75" customHeight="1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</row>
    <row r="626" ht="15.75" customHeight="1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</row>
    <row r="627" ht="15.75" customHeight="1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</row>
    <row r="628" ht="15.75" customHeight="1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</row>
    <row r="629" ht="15.75" customHeight="1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</row>
    <row r="630" ht="15.75" customHeight="1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</row>
    <row r="631" ht="15.75" customHeight="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</row>
    <row r="632" ht="15.75" customHeight="1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</row>
    <row r="633" ht="15.75" customHeight="1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</row>
    <row r="634" ht="15.75" customHeight="1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</row>
    <row r="635" ht="15.75" customHeight="1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</row>
    <row r="636" ht="15.75" customHeight="1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</row>
    <row r="637" ht="15.75" customHeight="1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</row>
    <row r="638" ht="15.75" customHeight="1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</row>
    <row r="639" ht="15.75" customHeight="1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</row>
    <row r="640" ht="15.75" customHeight="1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</row>
    <row r="641" ht="15.75" customHeight="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</row>
    <row r="642" ht="15.75" customHeight="1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</row>
    <row r="643" ht="15.75" customHeight="1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</row>
    <row r="644" ht="15.75" customHeight="1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</row>
    <row r="645" ht="15.75" customHeight="1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</row>
    <row r="646" ht="15.75" customHeight="1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</row>
    <row r="647" ht="15.75" customHeight="1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</row>
    <row r="648" ht="15.75" customHeight="1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</row>
    <row r="649" ht="15.75" customHeight="1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</row>
    <row r="650" ht="15.75" customHeight="1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</row>
    <row r="651" ht="15.75" customHeight="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</row>
    <row r="652" ht="15.75" customHeight="1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</row>
    <row r="653" ht="15.75" customHeight="1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</row>
    <row r="654" ht="15.75" customHeight="1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</row>
    <row r="655" ht="15.75" customHeight="1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</row>
    <row r="656" ht="15.75" customHeight="1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</row>
    <row r="657" ht="15.75" customHeight="1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</row>
    <row r="658" ht="15.75" customHeight="1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</row>
    <row r="659" ht="15.75" customHeight="1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</row>
    <row r="660" ht="15.75" customHeight="1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</row>
    <row r="661" ht="15.75" customHeight="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</row>
    <row r="662" ht="15.75" customHeight="1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</row>
    <row r="663" ht="15.75" customHeight="1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</row>
    <row r="664" ht="15.75" customHeight="1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</row>
    <row r="665" ht="15.75" customHeight="1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</row>
    <row r="666" ht="15.75" customHeight="1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</row>
    <row r="667" ht="15.75" customHeight="1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</row>
    <row r="668" ht="15.75" customHeight="1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</row>
    <row r="669" ht="15.75" customHeight="1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</row>
    <row r="670" ht="15.75" customHeight="1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</row>
    <row r="671" ht="15.75" customHeight="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</row>
    <row r="672" ht="15.75" customHeight="1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</row>
    <row r="673" ht="15.75" customHeight="1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</row>
    <row r="674" ht="15.75" customHeight="1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</row>
    <row r="675" ht="15.75" customHeight="1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</row>
    <row r="676" ht="15.75" customHeight="1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</row>
    <row r="677" ht="15.75" customHeight="1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</row>
    <row r="678" ht="15.75" customHeight="1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</row>
    <row r="679" ht="15.75" customHeight="1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</row>
    <row r="680" ht="15.75" customHeight="1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</row>
    <row r="681" ht="15.75" customHeight="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</row>
    <row r="682" ht="15.75" customHeight="1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</row>
    <row r="683" ht="15.75" customHeight="1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</row>
    <row r="684" ht="15.75" customHeight="1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</row>
    <row r="685" ht="15.75" customHeight="1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</row>
    <row r="686" ht="15.75" customHeight="1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</row>
    <row r="687" ht="15.75" customHeight="1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</row>
    <row r="688" ht="15.75" customHeight="1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</row>
    <row r="689" ht="15.75" customHeight="1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</row>
    <row r="690" ht="15.75" customHeight="1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</row>
    <row r="691" ht="15.75" customHeight="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</row>
    <row r="692" ht="15.75" customHeight="1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</row>
    <row r="693" ht="15.75" customHeight="1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</row>
    <row r="694" ht="15.75" customHeight="1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</row>
    <row r="695" ht="15.75" customHeight="1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</row>
    <row r="696" ht="15.75" customHeight="1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</row>
    <row r="697" ht="15.75" customHeight="1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</row>
    <row r="698" ht="15.75" customHeight="1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</row>
    <row r="699" ht="15.75" customHeight="1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</row>
    <row r="700" ht="15.75" customHeight="1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</row>
    <row r="701" ht="15.75" customHeight="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</row>
    <row r="702" ht="15.75" customHeight="1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</row>
    <row r="703" ht="15.75" customHeight="1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</row>
    <row r="704" ht="15.75" customHeight="1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</row>
    <row r="705" ht="15.75" customHeight="1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</row>
    <row r="706" ht="15.75" customHeight="1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</row>
    <row r="707" ht="15.75" customHeight="1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</row>
    <row r="708" ht="15.75" customHeight="1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</row>
    <row r="709" ht="15.75" customHeight="1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</row>
    <row r="710" ht="15.75" customHeight="1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</row>
    <row r="711" ht="15.75" customHeight="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</row>
    <row r="712" ht="15.75" customHeight="1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</row>
    <row r="713" ht="15.75" customHeight="1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</row>
    <row r="714" ht="15.75" customHeight="1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</row>
    <row r="715" ht="15.75" customHeight="1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</row>
    <row r="716" ht="15.75" customHeight="1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</row>
    <row r="717" ht="15.75" customHeight="1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</row>
    <row r="718" ht="15.75" customHeight="1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</row>
    <row r="719" ht="15.75" customHeight="1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</row>
    <row r="720" ht="15.75" customHeight="1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</row>
    <row r="721" ht="15.75" customHeight="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</row>
    <row r="722" ht="15.75" customHeight="1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</row>
    <row r="723" ht="15.75" customHeight="1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</row>
    <row r="724" ht="15.75" customHeight="1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</row>
    <row r="725" ht="15.75" customHeight="1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</row>
    <row r="726" ht="15.75" customHeight="1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</row>
    <row r="727" ht="15.75" customHeight="1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</row>
    <row r="728" ht="15.75" customHeight="1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</row>
    <row r="729" ht="15.75" customHeight="1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</row>
    <row r="730" ht="15.75" customHeight="1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</row>
    <row r="731" ht="15.75" customHeight="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</row>
    <row r="732" ht="15.75" customHeight="1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</row>
    <row r="733" ht="15.75" customHeight="1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</row>
    <row r="734" ht="15.75" customHeight="1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</row>
    <row r="735" ht="15.75" customHeight="1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</row>
    <row r="736" ht="15.75" customHeight="1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</row>
    <row r="737" ht="15.75" customHeight="1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</row>
    <row r="738" ht="15.75" customHeight="1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</row>
    <row r="739" ht="15.75" customHeight="1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</row>
    <row r="740" ht="15.75" customHeight="1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</row>
    <row r="741" ht="15.75" customHeight="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</row>
    <row r="742" ht="15.75" customHeight="1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</row>
    <row r="743" ht="15.75" customHeight="1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</row>
    <row r="744" ht="15.75" customHeight="1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</row>
    <row r="745" ht="15.75" customHeight="1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</row>
    <row r="746" ht="15.75" customHeight="1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</row>
    <row r="747" ht="15.75" customHeight="1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</row>
    <row r="748" ht="15.75" customHeight="1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</row>
    <row r="749" ht="15.75" customHeight="1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</row>
    <row r="750" ht="15.75" customHeight="1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</row>
    <row r="751" ht="15.75" customHeight="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</row>
    <row r="752" ht="15.75" customHeight="1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</row>
    <row r="753" ht="15.75" customHeight="1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</row>
    <row r="754" ht="15.75" customHeight="1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</row>
    <row r="755" ht="15.75" customHeight="1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</row>
    <row r="756" ht="15.75" customHeight="1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</row>
    <row r="757" ht="15.75" customHeight="1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</row>
    <row r="758" ht="15.75" customHeight="1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</row>
    <row r="759" ht="15.75" customHeight="1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</row>
    <row r="760" ht="15.75" customHeight="1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</row>
    <row r="761" ht="15.75" customHeight="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</row>
    <row r="762" ht="15.75" customHeight="1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</row>
    <row r="763" ht="15.75" customHeight="1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</row>
    <row r="764" ht="15.75" customHeight="1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</row>
    <row r="765" ht="15.75" customHeight="1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</row>
    <row r="766" ht="15.75" customHeight="1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</row>
    <row r="767" ht="15.75" customHeight="1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</row>
    <row r="768" ht="15.75" customHeight="1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</row>
    <row r="769" ht="15.75" customHeight="1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</row>
    <row r="770" ht="15.75" customHeight="1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</row>
    <row r="771" ht="15.75" customHeight="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</row>
    <row r="772" ht="15.75" customHeight="1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</row>
    <row r="773" ht="15.75" customHeight="1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</row>
    <row r="774" ht="15.75" customHeight="1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</row>
    <row r="775" ht="15.75" customHeight="1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</row>
    <row r="776" ht="15.75" customHeight="1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</row>
    <row r="777" ht="15.75" customHeight="1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</row>
    <row r="778" ht="15.75" customHeight="1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</row>
    <row r="779" ht="15.75" customHeight="1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</row>
    <row r="780" ht="15.75" customHeight="1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</row>
    <row r="781" ht="15.75" customHeight="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</row>
    <row r="782" ht="15.75" customHeight="1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</row>
    <row r="783" ht="15.75" customHeight="1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</row>
    <row r="784" ht="15.75" customHeight="1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</row>
    <row r="785" ht="15.75" customHeight="1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</row>
    <row r="786" ht="15.75" customHeight="1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</row>
    <row r="787" ht="15.75" customHeight="1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</row>
    <row r="788" ht="15.75" customHeight="1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</row>
    <row r="789" ht="15.75" customHeight="1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</row>
    <row r="790" ht="15.75" customHeight="1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</row>
    <row r="791" ht="15.75" customHeight="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</row>
    <row r="792" ht="15.75" customHeight="1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</row>
    <row r="793" ht="15.75" customHeight="1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</row>
    <row r="794" ht="15.75" customHeight="1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</row>
    <row r="795" ht="15.75" customHeight="1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</row>
    <row r="796" ht="15.75" customHeight="1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</row>
    <row r="797" ht="15.75" customHeight="1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</row>
    <row r="798" ht="15.75" customHeight="1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</row>
    <row r="799" ht="15.75" customHeight="1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</row>
    <row r="800" ht="15.75" customHeight="1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</row>
    <row r="801" ht="15.75" customHeight="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</row>
    <row r="802" ht="15.75" customHeight="1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</row>
    <row r="803" ht="15.75" customHeight="1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</row>
    <row r="804" ht="15.75" customHeight="1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</row>
    <row r="805" ht="15.75" customHeight="1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</row>
    <row r="806" ht="15.75" customHeight="1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</row>
    <row r="807" ht="15.75" customHeight="1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</row>
    <row r="808" ht="15.75" customHeight="1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</row>
    <row r="809" ht="15.75" customHeight="1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</row>
    <row r="810" ht="15.75" customHeight="1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</row>
    <row r="811" ht="15.75" customHeight="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</row>
    <row r="812" ht="15.75" customHeight="1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</row>
    <row r="813" ht="15.75" customHeight="1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</row>
    <row r="814" ht="15.75" customHeight="1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</row>
    <row r="815" ht="15.75" customHeight="1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</row>
    <row r="816" ht="15.75" customHeight="1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</row>
    <row r="817" ht="15.75" customHeight="1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</row>
    <row r="818" ht="15.75" customHeight="1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</row>
    <row r="819" ht="15.75" customHeight="1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</row>
    <row r="820" ht="15.75" customHeight="1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</row>
    <row r="821" ht="15.75" customHeight="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</row>
    <row r="822" ht="15.75" customHeight="1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</row>
    <row r="823" ht="15.75" customHeight="1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</row>
    <row r="824" ht="15.75" customHeight="1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</row>
    <row r="825" ht="15.75" customHeight="1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</row>
    <row r="826" ht="15.75" customHeight="1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</row>
    <row r="827" ht="15.75" customHeight="1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</row>
    <row r="828" ht="15.75" customHeight="1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</row>
    <row r="829" ht="15.75" customHeight="1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</row>
    <row r="830" ht="15.75" customHeight="1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</row>
    <row r="831" ht="15.75" customHeight="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</row>
    <row r="832" ht="15.75" customHeight="1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</row>
    <row r="833" ht="15.75" customHeight="1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</row>
    <row r="834" ht="15.75" customHeight="1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</row>
    <row r="835" ht="15.75" customHeight="1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</row>
    <row r="836" ht="15.75" customHeight="1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</row>
    <row r="837" ht="15.75" customHeight="1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</row>
    <row r="838" ht="15.75" customHeight="1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</row>
    <row r="839" ht="15.75" customHeight="1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</row>
    <row r="840" ht="15.75" customHeight="1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</row>
    <row r="841" ht="15.75" customHeight="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</row>
    <row r="842" ht="15.75" customHeight="1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</row>
    <row r="843" ht="15.75" customHeight="1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</row>
    <row r="844" ht="15.75" customHeight="1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</row>
    <row r="845" ht="15.75" customHeight="1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</row>
    <row r="846" ht="15.75" customHeight="1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</row>
    <row r="847" ht="15.75" customHeight="1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</row>
    <row r="848" ht="15.75" customHeight="1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</row>
    <row r="849" ht="15.75" customHeight="1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</row>
    <row r="850" ht="15.75" customHeight="1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</row>
    <row r="851" ht="15.75" customHeight="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</row>
    <row r="852" ht="15.75" customHeight="1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</row>
    <row r="853" ht="15.75" customHeight="1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</row>
    <row r="854" ht="15.75" customHeight="1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</row>
    <row r="855" ht="15.75" customHeight="1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</row>
    <row r="856" ht="15.75" customHeight="1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</row>
    <row r="857" ht="15.75" customHeight="1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</row>
    <row r="858" ht="15.75" customHeight="1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</row>
    <row r="859" ht="15.75" customHeight="1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</row>
    <row r="860" ht="15.75" customHeight="1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</row>
    <row r="861" ht="15.75" customHeight="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</row>
    <row r="862" ht="15.75" customHeight="1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</row>
    <row r="863" ht="15.75" customHeight="1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</row>
    <row r="864" ht="15.75" customHeight="1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</row>
    <row r="865" ht="15.75" customHeight="1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</row>
    <row r="866" ht="15.75" customHeight="1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</row>
    <row r="867" ht="15.75" customHeight="1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</row>
    <row r="868" ht="15.75" customHeight="1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</row>
    <row r="869" ht="15.75" customHeight="1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</row>
    <row r="870" ht="15.75" customHeight="1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</row>
    <row r="871" ht="15.75" customHeight="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</row>
    <row r="872" ht="15.75" customHeight="1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</row>
    <row r="873" ht="15.75" customHeight="1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</row>
    <row r="874" ht="15.75" customHeight="1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</row>
    <row r="875" ht="15.75" customHeight="1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</row>
    <row r="876" ht="15.75" customHeight="1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</row>
    <row r="877" ht="15.75" customHeight="1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</row>
    <row r="878" ht="15.75" customHeight="1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</row>
    <row r="879" ht="15.75" customHeight="1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</row>
    <row r="880" ht="15.75" customHeight="1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</row>
    <row r="881" ht="15.75" customHeight="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</row>
    <row r="882" ht="15.75" customHeight="1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</row>
    <row r="883" ht="15.75" customHeight="1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</row>
    <row r="884" ht="15.75" customHeight="1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</row>
    <row r="885" ht="15.75" customHeight="1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</row>
    <row r="886" ht="15.75" customHeight="1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</row>
    <row r="887" ht="15.75" customHeight="1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</row>
    <row r="888" ht="15.75" customHeight="1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</row>
    <row r="889" ht="15.75" customHeight="1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</row>
    <row r="890" ht="15.75" customHeight="1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</row>
    <row r="891" ht="15.75" customHeight="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</row>
    <row r="892" ht="15.75" customHeight="1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</row>
    <row r="893" ht="15.75" customHeight="1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</row>
    <row r="894" ht="15.75" customHeight="1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</row>
    <row r="895" ht="15.75" customHeight="1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</row>
    <row r="896" ht="15.75" customHeight="1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</row>
    <row r="897" ht="15.75" customHeight="1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</row>
    <row r="898" ht="15.75" customHeight="1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</row>
    <row r="899" ht="15.75" customHeight="1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</row>
    <row r="900" ht="15.75" customHeight="1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</row>
    <row r="901" ht="15.75" customHeight="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</row>
    <row r="902" ht="15.75" customHeight="1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</row>
    <row r="903" ht="15.75" customHeight="1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</row>
    <row r="904" ht="15.75" customHeight="1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</row>
    <row r="905" ht="15.75" customHeight="1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</row>
    <row r="906" ht="15.75" customHeight="1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</row>
    <row r="907" ht="15.75" customHeight="1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</row>
    <row r="908" ht="15.75" customHeight="1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</row>
    <row r="909" ht="15.75" customHeight="1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</row>
    <row r="910" ht="15.75" customHeight="1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</row>
    <row r="911" ht="15.75" customHeight="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</row>
    <row r="912" ht="15.75" customHeight="1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</row>
    <row r="913" ht="15.75" customHeight="1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</row>
    <row r="914" ht="15.75" customHeight="1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</row>
    <row r="915" ht="15.75" customHeight="1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</row>
    <row r="916" ht="15.75" customHeight="1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</row>
    <row r="917" ht="15.75" customHeight="1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</row>
    <row r="918" ht="15.75" customHeight="1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</row>
    <row r="919" ht="15.75" customHeight="1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</row>
    <row r="920" ht="15.75" customHeight="1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</row>
    <row r="921" ht="15.75" customHeight="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</row>
    <row r="922" ht="15.75" customHeight="1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</row>
    <row r="923" ht="15.75" customHeight="1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</row>
    <row r="924" ht="15.75" customHeight="1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</row>
    <row r="925" ht="15.75" customHeight="1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</row>
    <row r="926" ht="15.75" customHeight="1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</row>
    <row r="927" ht="15.75" customHeight="1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</row>
    <row r="928" ht="15.75" customHeight="1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</row>
    <row r="929" ht="15.75" customHeight="1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</row>
    <row r="930" ht="15.75" customHeight="1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</row>
    <row r="931" ht="15.75" customHeight="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</row>
    <row r="932" ht="15.75" customHeight="1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</row>
    <row r="933" ht="15.75" customHeight="1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</row>
    <row r="934" ht="15.75" customHeight="1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</row>
    <row r="935" ht="15.75" customHeight="1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</row>
    <row r="936" ht="15.75" customHeight="1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</row>
    <row r="937" ht="15.75" customHeight="1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</row>
    <row r="938" ht="15.75" customHeight="1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</row>
    <row r="939" ht="15.75" customHeight="1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</row>
    <row r="940" ht="15.75" customHeight="1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</row>
    <row r="941" ht="15.75" customHeight="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</row>
    <row r="942" ht="15.75" customHeight="1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</row>
    <row r="943" ht="15.75" customHeight="1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</row>
    <row r="944" ht="15.75" customHeight="1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</row>
    <row r="945" ht="15.75" customHeight="1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</row>
    <row r="946" ht="15.75" customHeight="1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</row>
    <row r="947" ht="15.75" customHeight="1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</row>
    <row r="948" ht="15.75" customHeight="1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</row>
    <row r="949" ht="15.75" customHeight="1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</row>
    <row r="950" ht="15.75" customHeight="1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</row>
    <row r="951" ht="15.75" customHeight="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</row>
    <row r="952" ht="15.75" customHeight="1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</row>
    <row r="953" ht="15.75" customHeight="1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</row>
    <row r="954" ht="15.75" customHeight="1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</row>
    <row r="955" ht="15.75" customHeight="1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</row>
    <row r="956" ht="15.75" customHeight="1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</row>
    <row r="957" ht="15.75" customHeight="1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</row>
    <row r="958" ht="15.75" customHeight="1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</row>
    <row r="959" ht="15.75" customHeight="1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</row>
    <row r="960" ht="15.75" customHeight="1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</row>
    <row r="961" ht="15.75" customHeight="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</row>
    <row r="962" ht="15.75" customHeight="1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</row>
    <row r="963" ht="15.75" customHeight="1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</row>
    <row r="964" ht="15.75" customHeight="1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</row>
    <row r="965" ht="15.75" customHeight="1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</row>
    <row r="966" ht="15.75" customHeight="1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</row>
    <row r="967" ht="15.75" customHeight="1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</row>
    <row r="968" ht="15.75" customHeight="1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</row>
    <row r="969" ht="15.75" customHeight="1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</row>
    <row r="970" ht="15.75" customHeight="1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</row>
    <row r="971" ht="15.75" customHeight="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</row>
    <row r="972" ht="15.75" customHeight="1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</row>
    <row r="973" ht="15.75" customHeight="1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</row>
    <row r="974" ht="15.75" customHeight="1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</row>
    <row r="975" ht="15.75" customHeight="1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</row>
    <row r="976" ht="15.75" customHeight="1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</row>
    <row r="977" ht="15.75" customHeight="1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</row>
    <row r="978" ht="15.75" customHeight="1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</row>
    <row r="979" ht="15.75" customHeight="1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</row>
    <row r="980" ht="15.75" customHeight="1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</row>
    <row r="981" ht="15.75" customHeight="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</row>
    <row r="982" ht="15.75" customHeight="1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</row>
    <row r="983" ht="15.75" customHeight="1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</row>
    <row r="984" ht="15.75" customHeight="1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</row>
    <row r="985" ht="15.75" customHeight="1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</row>
    <row r="986" ht="15.75" customHeight="1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</row>
    <row r="987" ht="15.75" customHeight="1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</row>
    <row r="988" ht="15.75" customHeight="1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</row>
    <row r="989" ht="15.75" customHeight="1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</row>
    <row r="990" ht="15.75" customHeight="1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</row>
    <row r="991" ht="15.75" customHeight="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</row>
    <row r="992" ht="15.75" customHeight="1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</row>
    <row r="993" ht="15.75" customHeight="1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</row>
    <row r="994" ht="15.75" customHeight="1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</row>
    <row r="995" ht="15.75" customHeight="1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</row>
    <row r="996" ht="15.75" customHeight="1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</row>
    <row r="997" ht="15.75" customHeight="1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</row>
    <row r="998" ht="15.75" customHeight="1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</row>
    <row r="999" ht="15.75" customHeight="1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</row>
    <row r="1000" ht="15.75" customHeight="1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</row>
  </sheetData>
  <mergeCells count="35">
    <mergeCell ref="A1:Z7"/>
    <mergeCell ref="AD9:AH9"/>
    <mergeCell ref="AJ9:AN9"/>
    <mergeCell ref="A10:Z10"/>
    <mergeCell ref="A11:A21"/>
    <mergeCell ref="A23:J23"/>
    <mergeCell ref="O23:T23"/>
    <mergeCell ref="O25:P25"/>
    <mergeCell ref="O26:P26"/>
    <mergeCell ref="Q26:R26"/>
    <mergeCell ref="S26:T26"/>
    <mergeCell ref="O27:P27"/>
    <mergeCell ref="Q27:R27"/>
    <mergeCell ref="S27:T27"/>
    <mergeCell ref="A24:A25"/>
    <mergeCell ref="B24:J25"/>
    <mergeCell ref="O24:P24"/>
    <mergeCell ref="Q24:R24"/>
    <mergeCell ref="S24:T24"/>
    <mergeCell ref="Q25:R25"/>
    <mergeCell ref="S25:T25"/>
    <mergeCell ref="Q29:R29"/>
    <mergeCell ref="S29:T29"/>
    <mergeCell ref="O30:P30"/>
    <mergeCell ref="Q30:R30"/>
    <mergeCell ref="S30:T30"/>
    <mergeCell ref="C30:D30"/>
    <mergeCell ref="E30:F30"/>
    <mergeCell ref="A28:J28"/>
    <mergeCell ref="O28:P28"/>
    <mergeCell ref="Q28:R28"/>
    <mergeCell ref="S28:T28"/>
    <mergeCell ref="C29:D29"/>
    <mergeCell ref="E29:F29"/>
    <mergeCell ref="O29:P2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2.63" defaultRowHeight="15.0"/>
  <cols>
    <col customWidth="1" min="1" max="1" width="19.75"/>
    <col customWidth="1" min="2" max="2" width="22.63"/>
    <col customWidth="1" min="3" max="26" width="9.25"/>
    <col customWidth="1" min="27" max="27" width="11.0"/>
    <col customWidth="1" min="28" max="28" width="7.88"/>
    <col customWidth="1" min="29" max="29" width="1.0"/>
    <col customWidth="1" min="30" max="30" width="15.63"/>
    <col customWidth="1" min="31" max="40" width="7.88"/>
  </cols>
  <sheetData>
    <row r="1" ht="15.0" customHeight="1">
      <c r="A1" s="1" t="s">
        <v>59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ht="15.0" customHeight="1"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ht="15.0" customHeight="1"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ht="15.0" customHeight="1"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r="5" ht="8.25" customHeight="1"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</row>
    <row r="6" ht="6.0" hidden="1" customHeight="1"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</row>
    <row r="7" ht="15.0" hidden="1" customHeight="1"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</row>
    <row r="8" ht="15.0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</row>
    <row r="9" ht="24.0" customHeight="1">
      <c r="A9" s="9"/>
      <c r="B9" s="10" t="s">
        <v>1</v>
      </c>
      <c r="C9" s="11" t="s">
        <v>2</v>
      </c>
      <c r="D9" s="11" t="s">
        <v>3</v>
      </c>
      <c r="E9" s="11" t="s">
        <v>4</v>
      </c>
      <c r="F9" s="11" t="s">
        <v>5</v>
      </c>
      <c r="G9" s="11" t="s">
        <v>6</v>
      </c>
      <c r="H9" s="11" t="s">
        <v>7</v>
      </c>
      <c r="I9" s="11" t="s">
        <v>8</v>
      </c>
      <c r="J9" s="11" t="s">
        <v>9</v>
      </c>
      <c r="K9" s="11" t="s">
        <v>10</v>
      </c>
      <c r="L9" s="11" t="s">
        <v>11</v>
      </c>
      <c r="M9" s="11" t="s">
        <v>12</v>
      </c>
      <c r="N9" s="11" t="s">
        <v>13</v>
      </c>
      <c r="O9" s="11" t="s">
        <v>14</v>
      </c>
      <c r="P9" s="11" t="s">
        <v>15</v>
      </c>
      <c r="Q9" s="11" t="s">
        <v>16</v>
      </c>
      <c r="R9" s="11" t="s">
        <v>17</v>
      </c>
      <c r="S9" s="11" t="s">
        <v>18</v>
      </c>
      <c r="T9" s="11" t="s">
        <v>19</v>
      </c>
      <c r="U9" s="11" t="s">
        <v>20</v>
      </c>
      <c r="V9" s="11" t="s">
        <v>21</v>
      </c>
      <c r="W9" s="11" t="s">
        <v>22</v>
      </c>
      <c r="X9" s="11" t="s">
        <v>23</v>
      </c>
      <c r="Y9" s="11" t="s">
        <v>24</v>
      </c>
      <c r="Z9" s="12" t="s">
        <v>25</v>
      </c>
      <c r="AA9" s="13"/>
      <c r="AB9" s="13"/>
      <c r="AC9" s="13"/>
      <c r="AD9" s="14" t="s">
        <v>26</v>
      </c>
      <c r="AE9" s="15"/>
      <c r="AF9" s="15"/>
      <c r="AG9" s="15"/>
      <c r="AH9" s="15"/>
      <c r="AI9" s="13"/>
      <c r="AJ9" s="14" t="s">
        <v>27</v>
      </c>
      <c r="AK9" s="15"/>
      <c r="AL9" s="15"/>
      <c r="AM9" s="15"/>
      <c r="AN9" s="15"/>
    </row>
    <row r="10" ht="4.5" customHeight="1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8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</row>
    <row r="11" ht="24.0" customHeight="1">
      <c r="A11" s="70" t="s">
        <v>60</v>
      </c>
      <c r="B11" s="71" t="s">
        <v>29</v>
      </c>
      <c r="C11" s="72">
        <v>7800.0</v>
      </c>
      <c r="D11" s="72">
        <v>7800.0</v>
      </c>
      <c r="E11" s="72">
        <v>7800.0</v>
      </c>
      <c r="F11" s="72">
        <v>7800.0</v>
      </c>
      <c r="G11" s="72">
        <v>7800.0</v>
      </c>
      <c r="H11" s="72">
        <v>7800.0</v>
      </c>
      <c r="I11" s="72">
        <v>7800.0</v>
      </c>
      <c r="J11" s="72">
        <v>7800.0</v>
      </c>
      <c r="K11" s="72">
        <v>7800.0</v>
      </c>
      <c r="L11" s="72">
        <v>7800.0</v>
      </c>
      <c r="M11" s="72">
        <v>7800.0</v>
      </c>
      <c r="N11" s="72">
        <v>7800.0</v>
      </c>
      <c r="O11" s="72">
        <v>7800.0</v>
      </c>
      <c r="P11" s="72">
        <v>7800.0</v>
      </c>
      <c r="Q11" s="72">
        <v>7800.0</v>
      </c>
      <c r="R11" s="72">
        <v>7800.0</v>
      </c>
      <c r="S11" s="72">
        <v>7800.0</v>
      </c>
      <c r="T11" s="72">
        <v>7800.0</v>
      </c>
      <c r="U11" s="72">
        <v>7800.0</v>
      </c>
      <c r="V11" s="72">
        <v>7800.0</v>
      </c>
      <c r="W11" s="72">
        <v>7800.0</v>
      </c>
      <c r="X11" s="72">
        <v>7800.0</v>
      </c>
      <c r="Y11" s="72">
        <v>7800.0</v>
      </c>
      <c r="Z11" s="72">
        <v>7800.0</v>
      </c>
      <c r="AA11" s="22"/>
      <c r="AB11" s="2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</row>
    <row r="12" ht="24.0" customHeight="1">
      <c r="A12" s="23"/>
      <c r="B12" s="73" t="s">
        <v>30</v>
      </c>
      <c r="C12" s="72">
        <v>4500.0</v>
      </c>
      <c r="D12" s="72">
        <v>4500.0</v>
      </c>
      <c r="E12" s="72">
        <v>4500.0</v>
      </c>
      <c r="F12" s="72">
        <v>4500.0</v>
      </c>
      <c r="G12" s="72">
        <v>4500.0</v>
      </c>
      <c r="H12" s="72">
        <v>4500.0</v>
      </c>
      <c r="I12" s="72">
        <v>4500.0</v>
      </c>
      <c r="J12" s="72">
        <v>4500.0</v>
      </c>
      <c r="K12" s="72">
        <v>4500.0</v>
      </c>
      <c r="L12" s="72">
        <v>4500.0</v>
      </c>
      <c r="M12" s="72">
        <v>4500.0</v>
      </c>
      <c r="N12" s="72">
        <v>4500.0</v>
      </c>
      <c r="O12" s="72">
        <v>4500.0</v>
      </c>
      <c r="P12" s="72">
        <v>4500.0</v>
      </c>
      <c r="Q12" s="72">
        <v>4500.0</v>
      </c>
      <c r="R12" s="72">
        <v>4500.0</v>
      </c>
      <c r="S12" s="72">
        <v>4500.0</v>
      </c>
      <c r="T12" s="72">
        <v>4500.0</v>
      </c>
      <c r="U12" s="72">
        <v>4500.0</v>
      </c>
      <c r="V12" s="72">
        <v>4500.0</v>
      </c>
      <c r="W12" s="72">
        <v>4500.0</v>
      </c>
      <c r="X12" s="72">
        <v>4500.0</v>
      </c>
      <c r="Y12" s="72">
        <v>4500.0</v>
      </c>
      <c r="Z12" s="72">
        <v>4500.0</v>
      </c>
      <c r="AA12" s="22"/>
      <c r="AB12" s="2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</row>
    <row r="13" ht="24.0" customHeight="1">
      <c r="A13" s="23"/>
      <c r="B13" s="73" t="s">
        <v>31</v>
      </c>
      <c r="C13" s="74" t="s">
        <v>32</v>
      </c>
      <c r="D13" s="74" t="s">
        <v>32</v>
      </c>
      <c r="E13" s="74" t="s">
        <v>32</v>
      </c>
      <c r="F13" s="74" t="s">
        <v>32</v>
      </c>
      <c r="G13" s="74" t="s">
        <v>32</v>
      </c>
      <c r="H13" s="74" t="s">
        <v>32</v>
      </c>
      <c r="I13" s="74" t="s">
        <v>32</v>
      </c>
      <c r="J13" s="74" t="s">
        <v>32</v>
      </c>
      <c r="K13" s="26">
        <v>4000.0</v>
      </c>
      <c r="L13" s="26">
        <v>4000.0</v>
      </c>
      <c r="M13" s="26">
        <v>4000.0</v>
      </c>
      <c r="N13" s="26">
        <v>4000.0</v>
      </c>
      <c r="O13" s="26">
        <v>4000.0</v>
      </c>
      <c r="P13" s="26">
        <v>4000.0</v>
      </c>
      <c r="Q13" s="26">
        <v>4000.0</v>
      </c>
      <c r="R13" s="26">
        <v>4000.0</v>
      </c>
      <c r="S13" s="26">
        <v>4000.0</v>
      </c>
      <c r="T13" s="26">
        <v>4000.0</v>
      </c>
      <c r="U13" s="26">
        <v>4000.0</v>
      </c>
      <c r="V13" s="26">
        <v>4000.0</v>
      </c>
      <c r="W13" s="26">
        <v>4000.0</v>
      </c>
      <c r="X13" s="26">
        <v>4000.0</v>
      </c>
      <c r="Y13" s="26">
        <v>4000.0</v>
      </c>
      <c r="Z13" s="26">
        <v>4000.0</v>
      </c>
      <c r="AA13" s="22"/>
      <c r="AB13" s="2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</row>
    <row r="14" ht="24.0" customHeight="1">
      <c r="A14" s="23"/>
      <c r="B14" s="71" t="s">
        <v>33</v>
      </c>
      <c r="C14" s="75">
        <v>400.0</v>
      </c>
      <c r="D14" s="75">
        <v>400.0</v>
      </c>
      <c r="E14" s="75">
        <v>400.0</v>
      </c>
      <c r="F14" s="75">
        <v>400.0</v>
      </c>
      <c r="G14" s="75">
        <v>400.0</v>
      </c>
      <c r="H14" s="75">
        <v>400.0</v>
      </c>
      <c r="I14" s="75">
        <v>400.0</v>
      </c>
      <c r="J14" s="75">
        <v>400.0</v>
      </c>
      <c r="K14" s="75">
        <v>400.0</v>
      </c>
      <c r="L14" s="75">
        <v>400.0</v>
      </c>
      <c r="M14" s="75">
        <v>400.0</v>
      </c>
      <c r="N14" s="75">
        <v>400.0</v>
      </c>
      <c r="O14" s="75">
        <v>400.0</v>
      </c>
      <c r="P14" s="75">
        <v>400.0</v>
      </c>
      <c r="Q14" s="75">
        <v>400.0</v>
      </c>
      <c r="R14" s="75">
        <v>400.0</v>
      </c>
      <c r="S14" s="75">
        <v>400.0</v>
      </c>
      <c r="T14" s="75">
        <v>400.0</v>
      </c>
      <c r="U14" s="75">
        <v>400.0</v>
      </c>
      <c r="V14" s="75">
        <v>400.0</v>
      </c>
      <c r="W14" s="75">
        <v>400.0</v>
      </c>
      <c r="X14" s="75">
        <v>400.0</v>
      </c>
      <c r="Y14" s="75">
        <v>400.0</v>
      </c>
      <c r="Z14" s="75">
        <v>400.0</v>
      </c>
      <c r="AA14" s="22"/>
      <c r="AB14" s="2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</row>
    <row r="15" ht="24.0" customHeight="1">
      <c r="A15" s="23"/>
      <c r="B15" s="71" t="s">
        <v>34</v>
      </c>
      <c r="C15" s="76"/>
      <c r="D15" s="76"/>
      <c r="E15" s="76"/>
      <c r="F15" s="76"/>
      <c r="G15" s="76">
        <v>5140.0</v>
      </c>
      <c r="H15" s="76">
        <v>5140.0</v>
      </c>
      <c r="I15" s="76">
        <v>5140.0</v>
      </c>
      <c r="J15" s="76">
        <v>5140.0</v>
      </c>
      <c r="K15" s="76">
        <v>12060.0</v>
      </c>
      <c r="L15" s="76">
        <v>12060.0</v>
      </c>
      <c r="M15" s="76">
        <v>12060.0</v>
      </c>
      <c r="N15" s="76">
        <v>12060.0</v>
      </c>
      <c r="O15" s="76">
        <v>16500.0</v>
      </c>
      <c r="P15" s="76">
        <v>16500.0</v>
      </c>
      <c r="Q15" s="76">
        <v>16500.0</v>
      </c>
      <c r="R15" s="76">
        <v>16500.0</v>
      </c>
      <c r="S15" s="76">
        <v>21450.0</v>
      </c>
      <c r="T15" s="76">
        <v>21450.0</v>
      </c>
      <c r="U15" s="76">
        <v>21450.0</v>
      </c>
      <c r="V15" s="76">
        <v>21450.0</v>
      </c>
      <c r="W15" s="76">
        <v>26900.0</v>
      </c>
      <c r="X15" s="76">
        <v>26900.0</v>
      </c>
      <c r="Y15" s="76">
        <v>26900.0</v>
      </c>
      <c r="Z15" s="76">
        <v>26900.0</v>
      </c>
      <c r="AA15" s="22"/>
      <c r="AB15" s="2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</row>
    <row r="16" ht="24.0" customHeight="1">
      <c r="A16" s="23"/>
      <c r="B16" s="71" t="s">
        <v>35</v>
      </c>
      <c r="C16" s="72">
        <v>450.0</v>
      </c>
      <c r="D16" s="72">
        <v>650.0</v>
      </c>
      <c r="E16" s="72">
        <v>850.0</v>
      </c>
      <c r="F16" s="72">
        <v>1000.0</v>
      </c>
      <c r="G16" s="72">
        <v>1250.0</v>
      </c>
      <c r="H16" s="72">
        <f t="shared" ref="H16:Z16" si="1">G16+250</f>
        <v>1500</v>
      </c>
      <c r="I16" s="72">
        <f t="shared" si="1"/>
        <v>1750</v>
      </c>
      <c r="J16" s="72">
        <f t="shared" si="1"/>
        <v>2000</v>
      </c>
      <c r="K16" s="72">
        <f t="shared" si="1"/>
        <v>2250</v>
      </c>
      <c r="L16" s="72">
        <f t="shared" si="1"/>
        <v>2500</v>
      </c>
      <c r="M16" s="72">
        <f t="shared" si="1"/>
        <v>2750</v>
      </c>
      <c r="N16" s="72">
        <f t="shared" si="1"/>
        <v>3000</v>
      </c>
      <c r="O16" s="72">
        <f t="shared" si="1"/>
        <v>3250</v>
      </c>
      <c r="P16" s="72">
        <f t="shared" si="1"/>
        <v>3500</v>
      </c>
      <c r="Q16" s="72">
        <f t="shared" si="1"/>
        <v>3750</v>
      </c>
      <c r="R16" s="72">
        <f t="shared" si="1"/>
        <v>4000</v>
      </c>
      <c r="S16" s="72">
        <f t="shared" si="1"/>
        <v>4250</v>
      </c>
      <c r="T16" s="72">
        <f t="shared" si="1"/>
        <v>4500</v>
      </c>
      <c r="U16" s="72">
        <f t="shared" si="1"/>
        <v>4750</v>
      </c>
      <c r="V16" s="72">
        <f t="shared" si="1"/>
        <v>5000</v>
      </c>
      <c r="W16" s="72">
        <f t="shared" si="1"/>
        <v>5250</v>
      </c>
      <c r="X16" s="72">
        <f t="shared" si="1"/>
        <v>5500</v>
      </c>
      <c r="Y16" s="72">
        <f t="shared" si="1"/>
        <v>5750</v>
      </c>
      <c r="Z16" s="72">
        <f t="shared" si="1"/>
        <v>6000</v>
      </c>
      <c r="AA16" s="22"/>
      <c r="AB16" s="2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</row>
    <row r="17" ht="24.0" customHeight="1">
      <c r="A17" s="23"/>
      <c r="B17" s="71" t="s">
        <v>36</v>
      </c>
      <c r="C17" s="26">
        <v>2000.0</v>
      </c>
      <c r="D17" s="26">
        <v>3000.0</v>
      </c>
      <c r="E17" s="26">
        <v>4000.0</v>
      </c>
      <c r="F17" s="26">
        <v>5000.0</v>
      </c>
      <c r="G17" s="26">
        <v>6000.0</v>
      </c>
      <c r="H17" s="26">
        <v>7000.0</v>
      </c>
      <c r="I17" s="26">
        <v>8000.0</v>
      </c>
      <c r="J17" s="26">
        <v>9000.0</v>
      </c>
      <c r="K17" s="26">
        <v>10000.0</v>
      </c>
      <c r="L17" s="26">
        <v>11000.0</v>
      </c>
      <c r="M17" s="26">
        <v>12000.0</v>
      </c>
      <c r="N17" s="26">
        <v>13000.0</v>
      </c>
      <c r="O17" s="26">
        <v>14000.0</v>
      </c>
      <c r="P17" s="26">
        <v>15000.0</v>
      </c>
      <c r="Q17" s="26">
        <v>16000.0</v>
      </c>
      <c r="R17" s="26">
        <v>17000.0</v>
      </c>
      <c r="S17" s="26">
        <v>18000.0</v>
      </c>
      <c r="T17" s="26">
        <v>19000.0</v>
      </c>
      <c r="U17" s="26">
        <v>20000.0</v>
      </c>
      <c r="V17" s="26">
        <v>21000.0</v>
      </c>
      <c r="W17" s="26">
        <v>22000.0</v>
      </c>
      <c r="X17" s="26">
        <v>23000.0</v>
      </c>
      <c r="Y17" s="26">
        <v>24000.0</v>
      </c>
      <c r="Z17" s="26">
        <v>25000.0</v>
      </c>
      <c r="AA17" s="22"/>
      <c r="AB17" s="2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</row>
    <row r="18" ht="24.0" customHeight="1">
      <c r="A18" s="23"/>
      <c r="B18" s="71" t="s">
        <v>37</v>
      </c>
      <c r="C18" s="75">
        <v>2000.0</v>
      </c>
      <c r="D18" s="75">
        <v>2000.0</v>
      </c>
      <c r="E18" s="75">
        <v>3000.0</v>
      </c>
      <c r="F18" s="75">
        <v>3000.0</v>
      </c>
      <c r="G18" s="75">
        <v>3000.0</v>
      </c>
      <c r="H18" s="75">
        <v>3000.0</v>
      </c>
      <c r="I18" s="75">
        <v>3000.0</v>
      </c>
      <c r="J18" s="75">
        <v>4000.0</v>
      </c>
      <c r="K18" s="75">
        <v>4000.0</v>
      </c>
      <c r="L18" s="75">
        <v>4000.0</v>
      </c>
      <c r="M18" s="75">
        <v>4000.0</v>
      </c>
      <c r="N18" s="75">
        <v>5000.0</v>
      </c>
      <c r="O18" s="75">
        <v>5000.0</v>
      </c>
      <c r="P18" s="75">
        <v>5000.0</v>
      </c>
      <c r="Q18" s="75">
        <v>5000.0</v>
      </c>
      <c r="R18" s="75">
        <v>5000.0</v>
      </c>
      <c r="S18" s="75">
        <v>5000.0</v>
      </c>
      <c r="T18" s="75">
        <v>5000.0</v>
      </c>
      <c r="U18" s="75">
        <v>5000.0</v>
      </c>
      <c r="V18" s="75">
        <v>5000.0</v>
      </c>
      <c r="W18" s="75">
        <v>5000.0</v>
      </c>
      <c r="X18" s="75">
        <v>5000.0</v>
      </c>
      <c r="Y18" s="75">
        <v>5000.0</v>
      </c>
      <c r="Z18" s="75">
        <v>5000.0</v>
      </c>
      <c r="AA18" s="22"/>
      <c r="AB18" s="2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</row>
    <row r="19" ht="24.0" customHeight="1">
      <c r="A19" s="23"/>
      <c r="B19" s="71" t="s">
        <v>38</v>
      </c>
      <c r="C19" s="76">
        <v>550.0</v>
      </c>
      <c r="D19" s="76">
        <f>C19*2</f>
        <v>1100</v>
      </c>
      <c r="E19" s="76">
        <f>C19*3</f>
        <v>1650</v>
      </c>
      <c r="F19" s="76">
        <f>C19*4</f>
        <v>2200</v>
      </c>
      <c r="G19" s="76">
        <f>C19*5</f>
        <v>2750</v>
      </c>
      <c r="H19" s="76">
        <f>C19*6</f>
        <v>3300</v>
      </c>
      <c r="I19" s="76">
        <f>C19*7</f>
        <v>3850</v>
      </c>
      <c r="J19" s="76">
        <f>C19*8</f>
        <v>4400</v>
      </c>
      <c r="K19" s="76">
        <f>C19*9</f>
        <v>4950</v>
      </c>
      <c r="L19" s="76">
        <f>C19*10</f>
        <v>5500</v>
      </c>
      <c r="M19" s="76">
        <f>C19*11</f>
        <v>6050</v>
      </c>
      <c r="N19" s="76">
        <f>C19*12</f>
        <v>6600</v>
      </c>
      <c r="O19" s="76">
        <f>C19*13</f>
        <v>7150</v>
      </c>
      <c r="P19" s="76">
        <f>C19*14</f>
        <v>7700</v>
      </c>
      <c r="Q19" s="76">
        <f>C19*15</f>
        <v>8250</v>
      </c>
      <c r="R19" s="76">
        <f>C19*16</f>
        <v>8800</v>
      </c>
      <c r="S19" s="76">
        <f>C19*17</f>
        <v>9350</v>
      </c>
      <c r="T19" s="76">
        <f>C19*18</f>
        <v>9900</v>
      </c>
      <c r="U19" s="76">
        <f>C19*19</f>
        <v>10450</v>
      </c>
      <c r="V19" s="76">
        <f>C19*20</f>
        <v>11000</v>
      </c>
      <c r="W19" s="76">
        <f>C19*21</f>
        <v>11550</v>
      </c>
      <c r="X19" s="76">
        <f>C19*22</f>
        <v>12100</v>
      </c>
      <c r="Y19" s="76">
        <f>C19*23</f>
        <v>12650</v>
      </c>
      <c r="Z19" s="77">
        <f>C19*24</f>
        <v>13200</v>
      </c>
      <c r="AA19" s="22"/>
      <c r="AB19" s="2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</row>
    <row r="20" ht="24.0" customHeight="1">
      <c r="A20" s="23"/>
      <c r="B20" s="71" t="s">
        <v>61</v>
      </c>
      <c r="C20" s="72">
        <v>1200.0</v>
      </c>
      <c r="D20" s="72">
        <v>1200.0</v>
      </c>
      <c r="E20" s="72">
        <v>1200.0</v>
      </c>
      <c r="F20" s="72">
        <v>1200.0</v>
      </c>
      <c r="G20" s="72">
        <v>1200.0</v>
      </c>
      <c r="H20" s="72">
        <v>1200.0</v>
      </c>
      <c r="I20" s="72">
        <v>1200.0</v>
      </c>
      <c r="J20" s="72">
        <v>1200.0</v>
      </c>
      <c r="K20" s="72">
        <v>1200.0</v>
      </c>
      <c r="L20" s="72">
        <v>1200.0</v>
      </c>
      <c r="M20" s="72">
        <v>1200.0</v>
      </c>
      <c r="N20" s="72">
        <v>1200.0</v>
      </c>
      <c r="O20" s="72">
        <v>1200.0</v>
      </c>
      <c r="P20" s="72">
        <v>1200.0</v>
      </c>
      <c r="Q20" s="72">
        <v>1200.0</v>
      </c>
      <c r="R20" s="72">
        <v>1200.0</v>
      </c>
      <c r="S20" s="72">
        <v>1200.0</v>
      </c>
      <c r="T20" s="72">
        <v>1200.0</v>
      </c>
      <c r="U20" s="72">
        <v>1200.0</v>
      </c>
      <c r="V20" s="72">
        <v>1200.0</v>
      </c>
      <c r="W20" s="72">
        <v>1200.0</v>
      </c>
      <c r="X20" s="72">
        <v>1200.0</v>
      </c>
      <c r="Y20" s="72">
        <v>1200.0</v>
      </c>
      <c r="Z20" s="72">
        <v>1200.0</v>
      </c>
      <c r="AA20" s="22"/>
      <c r="AB20" s="2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</row>
    <row r="21" ht="24.0" customHeight="1">
      <c r="A21" s="30"/>
      <c r="B21" s="31" t="s">
        <v>40</v>
      </c>
      <c r="C21" s="32">
        <f t="shared" ref="C21:Z21" si="2">SUM(C11:C20)</f>
        <v>18900</v>
      </c>
      <c r="D21" s="32">
        <f t="shared" si="2"/>
        <v>20650</v>
      </c>
      <c r="E21" s="32">
        <f t="shared" si="2"/>
        <v>23400</v>
      </c>
      <c r="F21" s="32">
        <f t="shared" si="2"/>
        <v>25100</v>
      </c>
      <c r="G21" s="32">
        <f t="shared" si="2"/>
        <v>32040</v>
      </c>
      <c r="H21" s="32">
        <f t="shared" si="2"/>
        <v>33840</v>
      </c>
      <c r="I21" s="32">
        <f t="shared" si="2"/>
        <v>35640</v>
      </c>
      <c r="J21" s="32">
        <f t="shared" si="2"/>
        <v>38440</v>
      </c>
      <c r="K21" s="32">
        <f t="shared" si="2"/>
        <v>51160</v>
      </c>
      <c r="L21" s="32">
        <f t="shared" si="2"/>
        <v>52960</v>
      </c>
      <c r="M21" s="32">
        <f t="shared" si="2"/>
        <v>54760</v>
      </c>
      <c r="N21" s="32">
        <f t="shared" si="2"/>
        <v>57560</v>
      </c>
      <c r="O21" s="32">
        <f t="shared" si="2"/>
        <v>63800</v>
      </c>
      <c r="P21" s="32">
        <f t="shared" si="2"/>
        <v>65600</v>
      </c>
      <c r="Q21" s="32">
        <f t="shared" si="2"/>
        <v>67400</v>
      </c>
      <c r="R21" s="32">
        <f t="shared" si="2"/>
        <v>69200</v>
      </c>
      <c r="S21" s="32">
        <f t="shared" si="2"/>
        <v>75950</v>
      </c>
      <c r="T21" s="32">
        <f t="shared" si="2"/>
        <v>77750</v>
      </c>
      <c r="U21" s="32">
        <f t="shared" si="2"/>
        <v>79550</v>
      </c>
      <c r="V21" s="32">
        <f t="shared" si="2"/>
        <v>81350</v>
      </c>
      <c r="W21" s="32">
        <f t="shared" si="2"/>
        <v>88600</v>
      </c>
      <c r="X21" s="32">
        <f t="shared" si="2"/>
        <v>90400</v>
      </c>
      <c r="Y21" s="32">
        <f t="shared" si="2"/>
        <v>92200</v>
      </c>
      <c r="Z21" s="32">
        <f t="shared" si="2"/>
        <v>94000</v>
      </c>
      <c r="AA21" s="78"/>
      <c r="AB21" s="78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</row>
    <row r="22" ht="15.75" customHeight="1">
      <c r="A22" s="33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ht="19.5" customHeight="1">
      <c r="A23" s="33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ht="24.75" customHeight="1">
      <c r="A24" s="80" t="s">
        <v>41</v>
      </c>
      <c r="B24" s="81"/>
      <c r="C24" s="82"/>
      <c r="D24" s="82"/>
      <c r="E24" s="82"/>
      <c r="F24" s="82"/>
      <c r="G24" s="82"/>
      <c r="H24" s="82"/>
      <c r="I24" s="82"/>
      <c r="J24" s="83"/>
      <c r="K24" s="37"/>
      <c r="L24" s="37"/>
      <c r="M24" s="37"/>
      <c r="N24" s="37"/>
      <c r="O24" s="38" t="s">
        <v>42</v>
      </c>
      <c r="P24" s="39"/>
      <c r="Q24" s="39"/>
      <c r="R24" s="39"/>
      <c r="S24" s="39"/>
      <c r="T24" s="39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</row>
    <row r="25" ht="27.0" customHeight="1">
      <c r="A25" s="84" t="s">
        <v>36</v>
      </c>
      <c r="B25" s="85" t="s">
        <v>62</v>
      </c>
      <c r="C25" s="42"/>
      <c r="D25" s="42"/>
      <c r="E25" s="42"/>
      <c r="F25" s="42"/>
      <c r="G25" s="42"/>
      <c r="H25" s="42"/>
      <c r="I25" s="42"/>
      <c r="J25" s="43"/>
      <c r="K25" s="37"/>
      <c r="L25" s="37"/>
      <c r="M25" s="37"/>
      <c r="N25" s="37"/>
      <c r="O25" s="44" t="s">
        <v>44</v>
      </c>
      <c r="P25" s="45"/>
      <c r="Q25" s="44" t="s">
        <v>45</v>
      </c>
      <c r="R25" s="45"/>
      <c r="S25" s="44" t="s">
        <v>46</v>
      </c>
      <c r="T25" s="45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</row>
    <row r="26" ht="28.5" customHeight="1">
      <c r="A26" s="86"/>
      <c r="B26" s="47"/>
      <c r="C26" s="48"/>
      <c r="D26" s="48"/>
      <c r="E26" s="48"/>
      <c r="F26" s="48"/>
      <c r="G26" s="48"/>
      <c r="H26" s="48"/>
      <c r="I26" s="48"/>
      <c r="J26" s="49"/>
      <c r="K26" s="37"/>
      <c r="L26" s="37"/>
      <c r="M26" s="37"/>
      <c r="N26" s="37"/>
      <c r="O26" s="50" t="s">
        <v>47</v>
      </c>
      <c r="P26" s="45"/>
      <c r="Q26" s="51" t="s">
        <v>48</v>
      </c>
      <c r="R26" s="45"/>
      <c r="S26" s="52" t="s">
        <v>32</v>
      </c>
      <c r="T26" s="45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</row>
    <row r="27" ht="19.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50" t="s">
        <v>49</v>
      </c>
      <c r="P27" s="45"/>
      <c r="Q27" s="55">
        <v>5140.0</v>
      </c>
      <c r="R27" s="45"/>
      <c r="S27" s="56">
        <f>Q27</f>
        <v>5140</v>
      </c>
      <c r="T27" s="45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</row>
    <row r="28" ht="19.5" customHeight="1">
      <c r="A28" s="57" t="s">
        <v>51</v>
      </c>
      <c r="B28" s="57"/>
      <c r="C28" s="57"/>
      <c r="D28" s="57"/>
      <c r="E28" s="57"/>
      <c r="F28" s="57"/>
      <c r="G28" s="57"/>
      <c r="H28" s="57"/>
      <c r="I28" s="57"/>
      <c r="J28" s="57"/>
      <c r="K28" s="37"/>
      <c r="L28" s="37"/>
      <c r="M28" s="37"/>
      <c r="N28" s="37"/>
      <c r="O28" s="50" t="s">
        <v>50</v>
      </c>
      <c r="P28" s="45"/>
      <c r="Q28" s="55">
        <v>6920.0</v>
      </c>
      <c r="R28" s="45"/>
      <c r="S28" s="56">
        <f>Q27+Q28</f>
        <v>12060</v>
      </c>
      <c r="T28" s="45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</row>
    <row r="29" ht="19.5" customHeight="1">
      <c r="A29" s="58" t="s">
        <v>53</v>
      </c>
      <c r="B29" s="59">
        <v>200.0</v>
      </c>
      <c r="C29" s="60" t="s">
        <v>54</v>
      </c>
      <c r="D29" s="61"/>
      <c r="E29" s="87">
        <v>120.0</v>
      </c>
      <c r="F29" s="88"/>
      <c r="G29" s="37"/>
      <c r="H29" s="37"/>
      <c r="I29" s="37"/>
      <c r="J29" s="37"/>
      <c r="K29" s="37"/>
      <c r="L29" s="37"/>
      <c r="M29" s="37"/>
      <c r="N29" s="37"/>
      <c r="O29" s="50" t="s">
        <v>52</v>
      </c>
      <c r="P29" s="45"/>
      <c r="Q29" s="55">
        <v>4440.0</v>
      </c>
      <c r="R29" s="45"/>
      <c r="S29" s="56">
        <f>Q27+Q28+Q29</f>
        <v>16500</v>
      </c>
      <c r="T29" s="45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</row>
    <row r="30" ht="19.5" customHeight="1">
      <c r="A30" s="64" t="s">
        <v>56</v>
      </c>
      <c r="B30" s="65">
        <v>250.0</v>
      </c>
      <c r="C30" s="66" t="s">
        <v>57</v>
      </c>
      <c r="D30" s="67"/>
      <c r="E30" s="89">
        <v>80.0</v>
      </c>
      <c r="F30" s="90"/>
      <c r="G30" s="37"/>
      <c r="H30" s="37"/>
      <c r="I30" s="37"/>
      <c r="J30" s="37"/>
      <c r="K30" s="37"/>
      <c r="L30" s="37"/>
      <c r="M30" s="37"/>
      <c r="N30" s="37"/>
      <c r="O30" s="50" t="s">
        <v>55</v>
      </c>
      <c r="P30" s="45"/>
      <c r="Q30" s="55">
        <v>4950.0</v>
      </c>
      <c r="R30" s="45"/>
      <c r="S30" s="56">
        <f>Q27+Q28+Q29+Q30</f>
        <v>21450</v>
      </c>
      <c r="T30" s="45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</row>
    <row r="31" ht="19.5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50" t="s">
        <v>58</v>
      </c>
      <c r="P31" s="45"/>
      <c r="Q31" s="55">
        <v>5450.0</v>
      </c>
      <c r="R31" s="45"/>
      <c r="S31" s="56">
        <f>Q27+Q28+Q29+Q30+Q31</f>
        <v>26900</v>
      </c>
      <c r="T31" s="45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</row>
    <row r="32" ht="19.5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</row>
    <row r="33" ht="19.5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</row>
    <row r="34" ht="19.5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</row>
    <row r="35" ht="19.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</row>
    <row r="36" ht="19.5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</row>
    <row r="37" ht="19.5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</row>
    <row r="38" ht="19.5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</row>
    <row r="39" ht="19.5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</row>
    <row r="40" ht="19.5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</row>
    <row r="41" ht="19.5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</row>
    <row r="42" ht="19.5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</row>
    <row r="43" ht="19.5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</row>
    <row r="44" ht="19.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</row>
    <row r="45" ht="19.5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</row>
    <row r="46" ht="15.0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</row>
    <row r="47" ht="15.0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</row>
    <row r="48" ht="15.0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</row>
    <row r="49" ht="15.0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</row>
    <row r="50" ht="15.0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</row>
    <row r="51" ht="15.0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</row>
    <row r="52" ht="15.0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</row>
    <row r="53" ht="15.0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</row>
    <row r="54" ht="15.0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</row>
    <row r="55" ht="15.0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</row>
    <row r="56" ht="15.0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</row>
    <row r="57" ht="15.0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</row>
    <row r="58" ht="15.0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</row>
    <row r="59" ht="15.0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</row>
    <row r="60" ht="15.0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</row>
    <row r="61" ht="15.0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</row>
    <row r="62" ht="15.0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</row>
    <row r="63" ht="15.0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</row>
    <row r="64" ht="15.0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</row>
    <row r="65" ht="15.0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</row>
    <row r="66" ht="15.0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</row>
    <row r="67" ht="15.0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</row>
    <row r="68" ht="15.0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</row>
    <row r="69" ht="15.0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</row>
    <row r="70" ht="15.0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</row>
    <row r="71" ht="15.0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</row>
    <row r="72" ht="15.0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</row>
    <row r="73" ht="15.0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</row>
    <row r="74" ht="15.0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</row>
    <row r="75" ht="15.0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</row>
    <row r="76" ht="15.0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</row>
    <row r="77" ht="15.0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</row>
    <row r="78" ht="15.0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</row>
    <row r="79" ht="15.0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</row>
    <row r="80" ht="15.0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</row>
    <row r="81" ht="15.0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</row>
    <row r="82" ht="15.0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</row>
    <row r="83" ht="15.0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</row>
    <row r="84" ht="15.0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</row>
    <row r="85" ht="15.0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</row>
    <row r="86" ht="15.0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</row>
    <row r="87" ht="15.0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</row>
    <row r="88" ht="15.0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</row>
    <row r="89" ht="15.0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</row>
    <row r="90" ht="15.0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</row>
    <row r="91" ht="15.0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</row>
    <row r="92" ht="15.0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</row>
    <row r="93" ht="15.0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</row>
    <row r="94" ht="15.0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</row>
    <row r="95" ht="15.0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</row>
    <row r="96" ht="15.0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</row>
    <row r="97" ht="15.0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</row>
    <row r="98" ht="15.0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</row>
    <row r="99" ht="15.0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</row>
    <row r="100" ht="15.0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</row>
    <row r="101" ht="15.0" customHeigh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</row>
    <row r="102" ht="15.0" customHeight="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</row>
    <row r="103" ht="15.0" customHeight="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</row>
    <row r="104" ht="15.0" customHeight="1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</row>
    <row r="105" ht="15.0" customHeight="1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</row>
    <row r="106" ht="15.0" customHeight="1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</row>
    <row r="107" ht="15.0" customHeight="1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</row>
    <row r="108" ht="15.0" customHeight="1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</row>
    <row r="109" ht="15.0" customHeight="1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</row>
    <row r="110" ht="15.0" customHeight="1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</row>
    <row r="111" ht="15.75" customHeight="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ht="15.75" customHeight="1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ht="15.75" customHeight="1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ht="15.75" customHeight="1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ht="15.75" customHeight="1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ht="15.75" customHeight="1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ht="15.75" customHeight="1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ht="15.75" customHeight="1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ht="15.75" customHeight="1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ht="15.75" customHeight="1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ht="15.75" customHeight="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ht="15.75" customHeight="1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ht="15.75" customHeight="1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ht="15.75" customHeight="1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ht="15.75" customHeight="1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ht="15.75" customHeight="1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ht="15.75" customHeight="1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ht="15.75" customHeight="1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ht="15.75" customHeight="1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ht="15.75" customHeight="1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ht="15.75" customHeight="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ht="15.75" customHeight="1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ht="15.75" customHeight="1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ht="15.75" customHeight="1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ht="15.75" customHeight="1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ht="15.75" customHeight="1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ht="15.75" customHeight="1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ht="15.75" customHeight="1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ht="15.75" customHeight="1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ht="15.75" customHeight="1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ht="15.75" customHeight="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ht="15.75" customHeight="1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ht="15.75" customHeight="1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ht="15.75" customHeight="1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ht="15.75" customHeight="1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ht="15.75" customHeight="1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ht="15.75" customHeight="1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ht="15.75" customHeight="1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ht="15.75" customHeight="1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ht="15.75" customHeight="1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ht="15.75" customHeight="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ht="15.75" customHeight="1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ht="15.75" customHeight="1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ht="15.75" customHeight="1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ht="15.75" customHeight="1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ht="15.75" customHeight="1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ht="15.75" customHeight="1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ht="15.75" customHeight="1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ht="15.75" customHeight="1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ht="15.75" customHeight="1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ht="15.75" customHeight="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ht="15.75" customHeight="1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ht="15.75" customHeight="1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ht="15.75" customHeight="1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ht="15.75" customHeight="1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ht="15.75" customHeight="1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ht="15.75" customHeight="1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ht="15.75" customHeight="1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ht="15.75" customHeight="1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ht="15.75" customHeight="1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ht="15.75" customHeight="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ht="15.75" customHeight="1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ht="15.75" customHeight="1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ht="15.75" customHeight="1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ht="15.75" customHeight="1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ht="15.75" customHeight="1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ht="15.75" customHeight="1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ht="15.75" customHeight="1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ht="15.75" customHeight="1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ht="15.75" customHeight="1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ht="15.75" customHeight="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ht="15.75" customHeight="1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ht="15.75" customHeight="1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ht="15.75" customHeight="1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ht="15.75" customHeight="1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ht="15.75" customHeight="1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ht="15.75" customHeight="1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ht="15.75" customHeight="1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ht="15.75" customHeight="1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ht="15.75" customHeight="1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ht="15.75" customHeight="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ht="15.75" customHeight="1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ht="15.75" customHeight="1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ht="15.75" customHeight="1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ht="15.75" customHeight="1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ht="15.75" customHeight="1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ht="15.75" customHeight="1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ht="15.75" customHeight="1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ht="15.75" customHeight="1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ht="15.75" customHeight="1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ht="15.75" customHeight="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ht="15.75" customHeight="1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ht="15.75" customHeight="1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ht="15.75" customHeight="1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ht="15.75" customHeight="1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ht="15.75" customHeight="1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ht="15.75" customHeight="1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ht="15.75" customHeight="1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ht="15.75" customHeight="1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ht="15.75" customHeight="1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ht="15.75" customHeight="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ht="15.75" customHeight="1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ht="15.75" customHeight="1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ht="15.75" customHeight="1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ht="15.75" customHeight="1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ht="15.75" customHeight="1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ht="15.75" customHeight="1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ht="15.75" customHeight="1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ht="15.75" customHeight="1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ht="15.75" customHeight="1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ht="15.75" customHeight="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ht="15.75" customHeight="1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ht="15.75" customHeight="1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ht="15.75" customHeight="1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ht="15.75" customHeight="1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ht="15.75" customHeight="1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ht="15.75" customHeight="1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ht="15.75" customHeight="1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ht="15.75" customHeight="1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ht="15.75" customHeight="1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ht="15.75" customHeight="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ht="15.75" customHeight="1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ht="15.75" customHeight="1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ht="15.75" customHeight="1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ht="15.75" customHeight="1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ht="15.75" customHeight="1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ht="15.75" customHeight="1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ht="15.75" customHeight="1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ht="15.75" customHeight="1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ht="15.75" customHeight="1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</row>
    <row r="242" ht="15.75" customHeight="1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</row>
    <row r="243" ht="15.75" customHeight="1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ht="15.75" customHeight="1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</row>
    <row r="245" ht="15.75" customHeight="1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</row>
    <row r="246" ht="15.75" customHeight="1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</row>
    <row r="247" ht="15.75" customHeight="1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</row>
    <row r="248" ht="15.75" customHeight="1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</row>
    <row r="249" ht="15.75" customHeight="1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</row>
    <row r="250" ht="15.75" customHeight="1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</row>
    <row r="251" ht="15.75" customHeight="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</row>
    <row r="252" ht="15.75" customHeight="1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</row>
    <row r="253" ht="15.75" customHeight="1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</row>
    <row r="254" ht="15.75" customHeight="1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</row>
    <row r="255" ht="15.75" customHeight="1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</row>
    <row r="256" ht="15.75" customHeight="1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</row>
    <row r="257" ht="15.75" customHeight="1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</row>
    <row r="258" ht="15.75" customHeight="1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</row>
    <row r="259" ht="15.75" customHeight="1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</row>
    <row r="260" ht="15.75" customHeight="1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</row>
    <row r="261" ht="15.75" customHeight="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</row>
    <row r="262" ht="15.75" customHeight="1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</row>
    <row r="263" ht="15.75" customHeight="1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</row>
    <row r="264" ht="15.75" customHeight="1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</row>
    <row r="265" ht="15.75" customHeight="1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</row>
    <row r="266" ht="15.75" customHeight="1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</row>
    <row r="267" ht="15.75" customHeight="1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</row>
    <row r="268" ht="15.75" customHeight="1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</row>
    <row r="269" ht="15.75" customHeight="1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</row>
    <row r="270" ht="15.75" customHeight="1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</row>
    <row r="271" ht="15.75" customHeight="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</row>
    <row r="272" ht="15.75" customHeight="1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</row>
    <row r="273" ht="15.75" customHeight="1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</row>
    <row r="274" ht="15.75" customHeight="1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</row>
    <row r="275" ht="15.75" customHeight="1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</row>
    <row r="276" ht="15.75" customHeight="1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</row>
    <row r="277" ht="15.75" customHeight="1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</row>
    <row r="278" ht="15.75" customHeight="1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</row>
    <row r="279" ht="15.75" customHeight="1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</row>
    <row r="280" ht="15.75" customHeight="1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</row>
    <row r="281" ht="15.75" customHeight="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</row>
    <row r="282" ht="15.75" customHeight="1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</row>
    <row r="283" ht="15.75" customHeight="1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</row>
    <row r="284" ht="15.75" customHeight="1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</row>
    <row r="285" ht="15.75" customHeight="1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</row>
    <row r="286" ht="15.75" customHeight="1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</row>
    <row r="287" ht="15.75" customHeight="1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</row>
    <row r="288" ht="15.75" customHeight="1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</row>
    <row r="289" ht="15.75" customHeight="1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</row>
    <row r="290" ht="15.75" customHeight="1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</row>
    <row r="291" ht="15.75" customHeight="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</row>
    <row r="292" ht="15.75" customHeight="1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</row>
    <row r="293" ht="15.75" customHeight="1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</row>
    <row r="294" ht="15.75" customHeight="1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</row>
    <row r="295" ht="15.75" customHeight="1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</row>
    <row r="296" ht="15.75" customHeight="1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</row>
    <row r="297" ht="15.75" customHeight="1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</row>
    <row r="298" ht="15.75" customHeight="1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</row>
    <row r="299" ht="15.75" customHeight="1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</row>
    <row r="300" ht="15.75" customHeight="1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</row>
    <row r="301" ht="15.75" customHeight="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</row>
    <row r="302" ht="15.75" customHeight="1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</row>
    <row r="303" ht="15.75" customHeight="1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</row>
    <row r="304" ht="15.75" customHeight="1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</row>
    <row r="305" ht="15.75" customHeight="1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</row>
    <row r="306" ht="15.75" customHeight="1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</row>
    <row r="307" ht="15.75" customHeight="1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</row>
    <row r="308" ht="15.75" customHeight="1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</row>
    <row r="309" ht="15.75" customHeight="1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</row>
    <row r="310" ht="15.75" customHeight="1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</row>
    <row r="311" ht="15.75" customHeight="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ht="15.75" customHeight="1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</row>
    <row r="313" ht="15.75" customHeight="1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</row>
    <row r="314" ht="15.75" customHeight="1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</row>
    <row r="315" ht="15.75" customHeight="1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</row>
    <row r="316" ht="15.75" customHeight="1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</row>
    <row r="317" ht="15.75" customHeight="1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</row>
    <row r="318" ht="15.75" customHeight="1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</row>
    <row r="319" ht="15.75" customHeight="1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</row>
    <row r="320" ht="15.75" customHeight="1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</row>
    <row r="321" ht="15.75" customHeight="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</row>
    <row r="322" ht="15.75" customHeight="1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</row>
    <row r="323" ht="15.75" customHeight="1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</row>
    <row r="324" ht="15.75" customHeight="1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</row>
    <row r="325" ht="15.75" customHeight="1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</row>
    <row r="326" ht="15.75" customHeight="1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</row>
    <row r="327" ht="15.75" customHeight="1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</row>
    <row r="328" ht="15.75" customHeight="1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</row>
    <row r="329" ht="15.75" customHeight="1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</row>
    <row r="330" ht="15.75" customHeight="1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</row>
    <row r="331" ht="15.75" customHeight="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</row>
    <row r="332" ht="15.75" customHeight="1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</row>
    <row r="333" ht="15.75" customHeight="1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</row>
    <row r="334" ht="15.75" customHeight="1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</row>
    <row r="335" ht="15.75" customHeight="1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</row>
    <row r="336" ht="15.75" customHeight="1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</row>
    <row r="337" ht="15.75" customHeight="1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</row>
    <row r="338" ht="15.75" customHeight="1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</row>
    <row r="339" ht="15.75" customHeight="1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</row>
    <row r="340" ht="15.75" customHeight="1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</row>
    <row r="341" ht="15.75" customHeight="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</row>
    <row r="342" ht="15.75" customHeight="1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</row>
    <row r="343" ht="15.75" customHeight="1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</row>
    <row r="344" ht="15.75" customHeight="1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</row>
    <row r="345" ht="15.75" customHeight="1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</row>
    <row r="346" ht="15.75" customHeight="1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</row>
    <row r="347" ht="15.75" customHeight="1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</row>
    <row r="348" ht="15.75" customHeight="1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</row>
    <row r="349" ht="15.75" customHeight="1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</row>
    <row r="350" ht="15.75" customHeight="1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</row>
    <row r="351" ht="15.75" customHeight="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</row>
    <row r="352" ht="15.75" customHeight="1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</row>
    <row r="353" ht="15.75" customHeight="1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</row>
    <row r="354" ht="15.75" customHeight="1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</row>
    <row r="355" ht="15.75" customHeight="1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</row>
    <row r="356" ht="15.75" customHeight="1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</row>
    <row r="357" ht="15.75" customHeight="1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</row>
    <row r="358" ht="15.75" customHeight="1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</row>
    <row r="359" ht="15.75" customHeight="1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</row>
    <row r="360" ht="15.75" customHeight="1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</row>
    <row r="361" ht="15.75" customHeight="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</row>
    <row r="362" ht="15.75" customHeight="1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</row>
    <row r="363" ht="15.75" customHeight="1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</row>
    <row r="364" ht="15.75" customHeight="1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</row>
    <row r="365" ht="15.75" customHeight="1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</row>
    <row r="366" ht="15.75" customHeight="1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</row>
    <row r="367" ht="15.75" customHeight="1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</row>
    <row r="368" ht="15.75" customHeight="1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</row>
    <row r="369" ht="15.75" customHeight="1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</row>
    <row r="370" ht="15.75" customHeight="1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</row>
    <row r="371" ht="15.75" customHeight="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</row>
    <row r="372" ht="15.75" customHeight="1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</row>
    <row r="373" ht="15.75" customHeight="1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</row>
    <row r="374" ht="15.75" customHeight="1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</row>
    <row r="375" ht="15.75" customHeight="1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</row>
    <row r="376" ht="15.75" customHeight="1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</row>
    <row r="377" ht="15.75" customHeight="1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</row>
    <row r="378" ht="15.75" customHeight="1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</row>
    <row r="379" ht="15.75" customHeight="1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</row>
    <row r="380" ht="15.75" customHeight="1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</row>
    <row r="381" ht="15.75" customHeight="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</row>
    <row r="382" ht="15.75" customHeight="1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</row>
    <row r="383" ht="15.75" customHeight="1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</row>
    <row r="384" ht="15.75" customHeight="1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</row>
    <row r="385" ht="15.75" customHeight="1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</row>
    <row r="386" ht="15.75" customHeight="1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</row>
    <row r="387" ht="15.75" customHeight="1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</row>
    <row r="388" ht="15.75" customHeight="1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</row>
    <row r="389" ht="15.75" customHeight="1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</row>
    <row r="390" ht="15.75" customHeight="1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</row>
    <row r="391" ht="15.75" customHeight="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</row>
    <row r="392" ht="15.75" customHeight="1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</row>
    <row r="393" ht="15.75" customHeight="1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</row>
    <row r="394" ht="15.75" customHeight="1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</row>
    <row r="395" ht="15.75" customHeight="1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</row>
    <row r="396" ht="15.75" customHeight="1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</row>
    <row r="397" ht="15.75" customHeight="1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</row>
    <row r="398" ht="15.75" customHeight="1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</row>
    <row r="399" ht="15.75" customHeight="1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</row>
    <row r="400" ht="15.75" customHeight="1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</row>
    <row r="401" ht="15.75" customHeight="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</row>
    <row r="402" ht="15.75" customHeight="1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</row>
    <row r="403" ht="15.75" customHeight="1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</row>
    <row r="404" ht="15.75" customHeight="1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</row>
    <row r="405" ht="15.75" customHeight="1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</row>
    <row r="406" ht="15.75" customHeight="1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</row>
    <row r="407" ht="15.75" customHeight="1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</row>
    <row r="408" ht="15.75" customHeight="1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</row>
    <row r="409" ht="15.75" customHeight="1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</row>
    <row r="410" ht="15.75" customHeight="1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</row>
    <row r="411" ht="15.75" customHeight="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</row>
    <row r="412" ht="15.75" customHeight="1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</row>
    <row r="413" ht="15.75" customHeight="1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</row>
    <row r="414" ht="15.75" customHeight="1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</row>
    <row r="415" ht="15.75" customHeight="1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</row>
    <row r="416" ht="15.75" customHeight="1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</row>
    <row r="417" ht="15.75" customHeight="1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</row>
    <row r="418" ht="15.75" customHeight="1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</row>
    <row r="419" ht="15.75" customHeight="1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</row>
    <row r="420" ht="15.75" customHeight="1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</row>
    <row r="421" ht="15.75" customHeight="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</row>
    <row r="422" ht="15.75" customHeight="1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</row>
    <row r="423" ht="15.75" customHeight="1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</row>
    <row r="424" ht="15.75" customHeight="1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</row>
    <row r="425" ht="15.75" customHeight="1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</row>
    <row r="426" ht="15.75" customHeight="1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</row>
    <row r="427" ht="15.75" customHeight="1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</row>
    <row r="428" ht="15.75" customHeight="1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</row>
    <row r="429" ht="15.75" customHeight="1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</row>
    <row r="430" ht="15.75" customHeight="1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</row>
    <row r="431" ht="15.75" customHeight="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</row>
    <row r="432" ht="15.75" customHeight="1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</row>
    <row r="433" ht="15.75" customHeight="1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</row>
    <row r="434" ht="15.75" customHeight="1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</row>
    <row r="435" ht="15.75" customHeight="1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</row>
    <row r="436" ht="15.75" customHeight="1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</row>
    <row r="437" ht="15.75" customHeight="1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</row>
    <row r="438" ht="15.75" customHeight="1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</row>
    <row r="439" ht="15.75" customHeight="1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</row>
    <row r="440" ht="15.75" customHeight="1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</row>
    <row r="441" ht="15.75" customHeight="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</row>
    <row r="442" ht="15.75" customHeight="1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</row>
    <row r="443" ht="15.75" customHeight="1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</row>
    <row r="444" ht="15.75" customHeight="1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</row>
    <row r="445" ht="15.75" customHeight="1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</row>
    <row r="446" ht="15.75" customHeight="1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</row>
    <row r="447" ht="15.75" customHeight="1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</row>
    <row r="448" ht="15.75" customHeight="1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</row>
    <row r="449" ht="15.75" customHeight="1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</row>
    <row r="450" ht="15.75" customHeight="1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</row>
    <row r="451" ht="15.75" customHeight="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</row>
    <row r="452" ht="15.75" customHeight="1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</row>
    <row r="453" ht="15.75" customHeight="1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</row>
    <row r="454" ht="15.75" customHeight="1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</row>
    <row r="455" ht="15.75" customHeight="1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</row>
    <row r="456" ht="15.75" customHeight="1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</row>
    <row r="457" ht="15.75" customHeight="1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</row>
    <row r="458" ht="15.75" customHeight="1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</row>
    <row r="459" ht="15.75" customHeight="1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</row>
    <row r="460" ht="15.75" customHeight="1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</row>
    <row r="461" ht="15.75" customHeight="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</row>
    <row r="462" ht="15.75" customHeight="1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</row>
    <row r="463" ht="15.75" customHeight="1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</row>
    <row r="464" ht="15.75" customHeight="1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</row>
    <row r="465" ht="15.75" customHeight="1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</row>
    <row r="466" ht="15.75" customHeight="1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</row>
    <row r="467" ht="15.75" customHeight="1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</row>
    <row r="468" ht="15.75" customHeight="1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</row>
    <row r="469" ht="15.75" customHeight="1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</row>
    <row r="470" ht="15.75" customHeight="1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</row>
    <row r="471" ht="15.75" customHeight="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</row>
    <row r="472" ht="15.75" customHeight="1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</row>
    <row r="473" ht="15.75" customHeight="1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</row>
    <row r="474" ht="15.75" customHeight="1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</row>
    <row r="475" ht="15.75" customHeight="1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</row>
    <row r="476" ht="15.75" customHeight="1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</row>
    <row r="477" ht="15.75" customHeight="1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</row>
    <row r="478" ht="15.75" customHeight="1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</row>
    <row r="479" ht="15.75" customHeight="1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</row>
    <row r="480" ht="15.75" customHeight="1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</row>
    <row r="481" ht="15.75" customHeight="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</row>
    <row r="482" ht="15.75" customHeight="1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</row>
    <row r="483" ht="15.75" customHeight="1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</row>
    <row r="484" ht="15.75" customHeight="1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</row>
    <row r="485" ht="15.75" customHeight="1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</row>
    <row r="486" ht="15.75" customHeight="1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</row>
    <row r="487" ht="15.75" customHeight="1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</row>
    <row r="488" ht="15.75" customHeight="1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</row>
    <row r="489" ht="15.75" customHeight="1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</row>
    <row r="490" ht="15.75" customHeight="1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</row>
    <row r="491" ht="15.75" customHeight="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</row>
    <row r="492" ht="15.75" customHeight="1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</row>
    <row r="493" ht="15.75" customHeight="1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</row>
    <row r="494" ht="15.75" customHeight="1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</row>
    <row r="495" ht="15.75" customHeight="1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</row>
    <row r="496" ht="15.75" customHeight="1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</row>
    <row r="497" ht="15.75" customHeight="1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</row>
    <row r="498" ht="15.75" customHeight="1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</row>
    <row r="499" ht="15.75" customHeight="1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</row>
    <row r="500" ht="15.75" customHeight="1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</row>
    <row r="501" ht="15.75" customHeight="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</row>
    <row r="502" ht="15.75" customHeight="1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</row>
    <row r="503" ht="15.75" customHeight="1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</row>
    <row r="504" ht="15.75" customHeight="1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</row>
    <row r="505" ht="15.75" customHeight="1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</row>
    <row r="506" ht="15.75" customHeight="1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</row>
    <row r="507" ht="15.75" customHeight="1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</row>
    <row r="508" ht="15.75" customHeight="1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</row>
    <row r="509" ht="15.75" customHeight="1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</row>
    <row r="510" ht="15.75" customHeight="1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</row>
    <row r="511" ht="15.75" customHeight="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</row>
    <row r="512" ht="15.75" customHeight="1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</row>
    <row r="513" ht="15.75" customHeight="1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</row>
    <row r="514" ht="15.75" customHeight="1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</row>
    <row r="515" ht="15.75" customHeight="1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</row>
    <row r="516" ht="15.75" customHeight="1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</row>
    <row r="517" ht="15.75" customHeight="1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</row>
    <row r="518" ht="15.75" customHeight="1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</row>
    <row r="519" ht="15.75" customHeight="1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</row>
    <row r="520" ht="15.75" customHeight="1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</row>
    <row r="521" ht="15.75" customHeight="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</row>
    <row r="522" ht="15.75" customHeight="1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</row>
    <row r="523" ht="15.75" customHeight="1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</row>
    <row r="524" ht="15.75" customHeight="1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</row>
    <row r="525" ht="15.75" customHeight="1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</row>
    <row r="526" ht="15.75" customHeight="1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</row>
    <row r="527" ht="15.75" customHeight="1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</row>
    <row r="528" ht="15.75" customHeight="1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</row>
    <row r="529" ht="15.75" customHeight="1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</row>
    <row r="530" ht="15.75" customHeight="1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</row>
    <row r="531" ht="15.75" customHeight="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</row>
    <row r="532" ht="15.75" customHeight="1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</row>
    <row r="533" ht="15.75" customHeight="1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</row>
    <row r="534" ht="15.75" customHeight="1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</row>
    <row r="535" ht="15.75" customHeight="1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</row>
    <row r="536" ht="15.75" customHeight="1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</row>
    <row r="537" ht="15.75" customHeight="1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</row>
    <row r="538" ht="15.75" customHeight="1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</row>
    <row r="539" ht="15.75" customHeight="1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</row>
    <row r="540" ht="15.75" customHeight="1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</row>
    <row r="541" ht="15.75" customHeight="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</row>
    <row r="542" ht="15.75" customHeight="1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</row>
    <row r="543" ht="15.75" customHeight="1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</row>
    <row r="544" ht="15.75" customHeight="1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</row>
    <row r="545" ht="15.75" customHeight="1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</row>
    <row r="546" ht="15.75" customHeight="1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</row>
    <row r="547" ht="15.75" customHeight="1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</row>
    <row r="548" ht="15.75" customHeight="1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</row>
    <row r="549" ht="15.75" customHeight="1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</row>
    <row r="550" ht="15.75" customHeight="1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</row>
    <row r="551" ht="15.75" customHeight="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</row>
    <row r="552" ht="15.75" customHeight="1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</row>
    <row r="553" ht="15.75" customHeight="1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</row>
    <row r="554" ht="15.75" customHeight="1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</row>
    <row r="555" ht="15.75" customHeight="1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</row>
    <row r="556" ht="15.75" customHeight="1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</row>
    <row r="557" ht="15.75" customHeight="1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</row>
    <row r="558" ht="15.75" customHeight="1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</row>
    <row r="559" ht="15.75" customHeight="1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</row>
    <row r="560" ht="15.75" customHeight="1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</row>
    <row r="561" ht="15.75" customHeight="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</row>
    <row r="562" ht="15.75" customHeight="1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</row>
    <row r="563" ht="15.75" customHeight="1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</row>
    <row r="564" ht="15.75" customHeight="1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</row>
    <row r="565" ht="15.75" customHeight="1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</row>
    <row r="566" ht="15.75" customHeight="1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</row>
    <row r="567" ht="15.75" customHeight="1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</row>
    <row r="568" ht="15.75" customHeight="1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</row>
    <row r="569" ht="15.75" customHeight="1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</row>
    <row r="570" ht="15.75" customHeight="1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</row>
    <row r="571" ht="15.75" customHeight="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</row>
    <row r="572" ht="15.75" customHeight="1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</row>
    <row r="573" ht="15.75" customHeight="1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</row>
    <row r="574" ht="15.75" customHeight="1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</row>
    <row r="575" ht="15.75" customHeight="1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</row>
    <row r="576" ht="15.75" customHeight="1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</row>
    <row r="577" ht="15.75" customHeight="1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</row>
    <row r="578" ht="15.75" customHeight="1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</row>
    <row r="579" ht="15.75" customHeight="1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</row>
    <row r="580" ht="15.75" customHeight="1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</row>
    <row r="581" ht="15.75" customHeight="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</row>
    <row r="582" ht="15.75" customHeight="1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</row>
    <row r="583" ht="15.75" customHeight="1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</row>
    <row r="584" ht="15.75" customHeight="1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</row>
    <row r="585" ht="15.75" customHeight="1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</row>
    <row r="586" ht="15.75" customHeight="1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</row>
    <row r="587" ht="15.75" customHeight="1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</row>
    <row r="588" ht="15.75" customHeight="1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</row>
    <row r="589" ht="15.75" customHeight="1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</row>
    <row r="590" ht="15.75" customHeight="1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</row>
    <row r="591" ht="15.75" customHeight="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</row>
    <row r="592" ht="15.75" customHeight="1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</row>
    <row r="593" ht="15.75" customHeight="1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</row>
    <row r="594" ht="15.75" customHeight="1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</row>
    <row r="595" ht="15.75" customHeight="1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</row>
    <row r="596" ht="15.75" customHeight="1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</row>
    <row r="597" ht="15.75" customHeight="1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</row>
    <row r="598" ht="15.75" customHeight="1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</row>
    <row r="599" ht="15.75" customHeight="1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</row>
    <row r="600" ht="15.75" customHeight="1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</row>
    <row r="601" ht="15.75" customHeight="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</row>
    <row r="602" ht="15.75" customHeight="1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</row>
    <row r="603" ht="15.75" customHeight="1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</row>
    <row r="604" ht="15.75" customHeight="1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</row>
    <row r="605" ht="15.75" customHeight="1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</row>
    <row r="606" ht="15.75" customHeight="1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</row>
    <row r="607" ht="15.75" customHeight="1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</row>
    <row r="608" ht="15.75" customHeight="1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</row>
    <row r="609" ht="15.75" customHeight="1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</row>
    <row r="610" ht="15.75" customHeight="1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</row>
    <row r="611" ht="15.75" customHeight="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</row>
    <row r="612" ht="15.75" customHeight="1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</row>
    <row r="613" ht="15.75" customHeight="1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</row>
    <row r="614" ht="15.75" customHeight="1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</row>
    <row r="615" ht="15.75" customHeight="1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</row>
    <row r="616" ht="15.75" customHeight="1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</row>
    <row r="617" ht="15.75" customHeight="1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</row>
    <row r="618" ht="15.75" customHeight="1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</row>
    <row r="619" ht="15.75" customHeight="1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</row>
    <row r="620" ht="15.75" customHeight="1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</row>
    <row r="621" ht="15.75" customHeight="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</row>
    <row r="622" ht="15.75" customHeight="1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</row>
    <row r="623" ht="15.75" customHeight="1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</row>
    <row r="624" ht="15.75" customHeight="1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</row>
    <row r="625" ht="15.75" customHeight="1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</row>
    <row r="626" ht="15.75" customHeight="1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</row>
    <row r="627" ht="15.75" customHeight="1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</row>
    <row r="628" ht="15.75" customHeight="1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</row>
    <row r="629" ht="15.75" customHeight="1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</row>
    <row r="630" ht="15.75" customHeight="1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</row>
    <row r="631" ht="15.75" customHeight="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</row>
    <row r="632" ht="15.75" customHeight="1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</row>
    <row r="633" ht="15.75" customHeight="1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</row>
    <row r="634" ht="15.75" customHeight="1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</row>
    <row r="635" ht="15.75" customHeight="1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</row>
    <row r="636" ht="15.75" customHeight="1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</row>
    <row r="637" ht="15.75" customHeight="1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</row>
    <row r="638" ht="15.75" customHeight="1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</row>
    <row r="639" ht="15.75" customHeight="1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</row>
    <row r="640" ht="15.75" customHeight="1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</row>
    <row r="641" ht="15.75" customHeight="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</row>
    <row r="642" ht="15.75" customHeight="1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</row>
    <row r="643" ht="15.75" customHeight="1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</row>
    <row r="644" ht="15.75" customHeight="1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</row>
    <row r="645" ht="15.75" customHeight="1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</row>
    <row r="646" ht="15.75" customHeight="1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</row>
    <row r="647" ht="15.75" customHeight="1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</row>
    <row r="648" ht="15.75" customHeight="1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</row>
    <row r="649" ht="15.75" customHeight="1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</row>
    <row r="650" ht="15.75" customHeight="1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</row>
    <row r="651" ht="15.75" customHeight="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</row>
    <row r="652" ht="15.75" customHeight="1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</row>
    <row r="653" ht="15.75" customHeight="1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</row>
    <row r="654" ht="15.75" customHeight="1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</row>
    <row r="655" ht="15.75" customHeight="1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</row>
    <row r="656" ht="15.75" customHeight="1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</row>
    <row r="657" ht="15.75" customHeight="1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</row>
    <row r="658" ht="15.75" customHeight="1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</row>
    <row r="659" ht="15.75" customHeight="1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</row>
    <row r="660" ht="15.75" customHeight="1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</row>
    <row r="661" ht="15.75" customHeight="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</row>
    <row r="662" ht="15.75" customHeight="1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</row>
    <row r="663" ht="15.75" customHeight="1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</row>
    <row r="664" ht="15.75" customHeight="1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</row>
    <row r="665" ht="15.75" customHeight="1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</row>
    <row r="666" ht="15.75" customHeight="1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</row>
    <row r="667" ht="15.75" customHeight="1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</row>
    <row r="668" ht="15.75" customHeight="1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</row>
    <row r="669" ht="15.75" customHeight="1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</row>
    <row r="670" ht="15.75" customHeight="1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</row>
    <row r="671" ht="15.75" customHeight="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</row>
    <row r="672" ht="15.75" customHeight="1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</row>
    <row r="673" ht="15.75" customHeight="1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</row>
    <row r="674" ht="15.75" customHeight="1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</row>
    <row r="675" ht="15.75" customHeight="1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</row>
    <row r="676" ht="15.75" customHeight="1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</row>
    <row r="677" ht="15.75" customHeight="1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</row>
    <row r="678" ht="15.75" customHeight="1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</row>
    <row r="679" ht="15.75" customHeight="1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</row>
    <row r="680" ht="15.75" customHeight="1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</row>
    <row r="681" ht="15.75" customHeight="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</row>
    <row r="682" ht="15.75" customHeight="1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</row>
    <row r="683" ht="15.75" customHeight="1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</row>
    <row r="684" ht="15.75" customHeight="1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</row>
    <row r="685" ht="15.75" customHeight="1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</row>
    <row r="686" ht="15.75" customHeight="1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</row>
    <row r="687" ht="15.75" customHeight="1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</row>
    <row r="688" ht="15.75" customHeight="1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</row>
    <row r="689" ht="15.75" customHeight="1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</row>
    <row r="690" ht="15.75" customHeight="1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</row>
    <row r="691" ht="15.75" customHeight="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</row>
    <row r="692" ht="15.75" customHeight="1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</row>
    <row r="693" ht="15.75" customHeight="1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</row>
    <row r="694" ht="15.75" customHeight="1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</row>
    <row r="695" ht="15.75" customHeight="1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</row>
    <row r="696" ht="15.75" customHeight="1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</row>
    <row r="697" ht="15.75" customHeight="1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</row>
    <row r="698" ht="15.75" customHeight="1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</row>
    <row r="699" ht="15.75" customHeight="1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</row>
    <row r="700" ht="15.75" customHeight="1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</row>
    <row r="701" ht="15.75" customHeight="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</row>
    <row r="702" ht="15.75" customHeight="1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</row>
    <row r="703" ht="15.75" customHeight="1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</row>
    <row r="704" ht="15.75" customHeight="1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</row>
    <row r="705" ht="15.75" customHeight="1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</row>
    <row r="706" ht="15.75" customHeight="1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</row>
    <row r="707" ht="15.75" customHeight="1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</row>
    <row r="708" ht="15.75" customHeight="1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</row>
    <row r="709" ht="15.75" customHeight="1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</row>
    <row r="710" ht="15.75" customHeight="1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</row>
    <row r="711" ht="15.75" customHeight="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</row>
    <row r="712" ht="15.75" customHeight="1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</row>
    <row r="713" ht="15.75" customHeight="1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</row>
    <row r="714" ht="15.75" customHeight="1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</row>
    <row r="715" ht="15.75" customHeight="1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</row>
    <row r="716" ht="15.75" customHeight="1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</row>
    <row r="717" ht="15.75" customHeight="1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</row>
    <row r="718" ht="15.75" customHeight="1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</row>
    <row r="719" ht="15.75" customHeight="1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</row>
    <row r="720" ht="15.75" customHeight="1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</row>
    <row r="721" ht="15.75" customHeight="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</row>
    <row r="722" ht="15.75" customHeight="1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</row>
    <row r="723" ht="15.75" customHeight="1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</row>
    <row r="724" ht="15.75" customHeight="1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</row>
    <row r="725" ht="15.75" customHeight="1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</row>
    <row r="726" ht="15.75" customHeight="1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</row>
    <row r="727" ht="15.75" customHeight="1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</row>
    <row r="728" ht="15.75" customHeight="1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</row>
    <row r="729" ht="15.75" customHeight="1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</row>
    <row r="730" ht="15.75" customHeight="1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</row>
    <row r="731" ht="15.75" customHeight="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</row>
    <row r="732" ht="15.75" customHeight="1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</row>
    <row r="733" ht="15.75" customHeight="1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</row>
    <row r="734" ht="15.75" customHeight="1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</row>
    <row r="735" ht="15.75" customHeight="1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</row>
    <row r="736" ht="15.75" customHeight="1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</row>
    <row r="737" ht="15.75" customHeight="1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</row>
    <row r="738" ht="15.75" customHeight="1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</row>
    <row r="739" ht="15.75" customHeight="1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</row>
    <row r="740" ht="15.75" customHeight="1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</row>
    <row r="741" ht="15.75" customHeight="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</row>
    <row r="742" ht="15.75" customHeight="1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</row>
    <row r="743" ht="15.75" customHeight="1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</row>
    <row r="744" ht="15.75" customHeight="1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</row>
    <row r="745" ht="15.75" customHeight="1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</row>
    <row r="746" ht="15.75" customHeight="1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</row>
    <row r="747" ht="15.75" customHeight="1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</row>
    <row r="748" ht="15.75" customHeight="1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</row>
    <row r="749" ht="15.75" customHeight="1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</row>
    <row r="750" ht="15.75" customHeight="1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</row>
    <row r="751" ht="15.75" customHeight="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</row>
    <row r="752" ht="15.75" customHeight="1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</row>
    <row r="753" ht="15.75" customHeight="1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</row>
    <row r="754" ht="15.75" customHeight="1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</row>
    <row r="755" ht="15.75" customHeight="1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</row>
    <row r="756" ht="15.75" customHeight="1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</row>
    <row r="757" ht="15.75" customHeight="1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</row>
    <row r="758" ht="15.75" customHeight="1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</row>
    <row r="759" ht="15.75" customHeight="1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</row>
    <row r="760" ht="15.75" customHeight="1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</row>
    <row r="761" ht="15.75" customHeight="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</row>
    <row r="762" ht="15.75" customHeight="1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</row>
    <row r="763" ht="15.75" customHeight="1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</row>
    <row r="764" ht="15.75" customHeight="1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</row>
    <row r="765" ht="15.75" customHeight="1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</row>
    <row r="766" ht="15.75" customHeight="1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</row>
    <row r="767" ht="15.75" customHeight="1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</row>
    <row r="768" ht="15.75" customHeight="1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</row>
    <row r="769" ht="15.75" customHeight="1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</row>
    <row r="770" ht="15.75" customHeight="1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</row>
    <row r="771" ht="15.75" customHeight="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</row>
    <row r="772" ht="15.75" customHeight="1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</row>
    <row r="773" ht="15.75" customHeight="1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</row>
    <row r="774" ht="15.75" customHeight="1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</row>
    <row r="775" ht="15.75" customHeight="1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</row>
    <row r="776" ht="15.75" customHeight="1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</row>
    <row r="777" ht="15.75" customHeight="1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</row>
    <row r="778" ht="15.75" customHeight="1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</row>
    <row r="779" ht="15.75" customHeight="1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</row>
    <row r="780" ht="15.75" customHeight="1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</row>
    <row r="781" ht="15.75" customHeight="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</row>
    <row r="782" ht="15.75" customHeight="1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</row>
    <row r="783" ht="15.75" customHeight="1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</row>
    <row r="784" ht="15.75" customHeight="1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</row>
    <row r="785" ht="15.75" customHeight="1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</row>
    <row r="786" ht="15.75" customHeight="1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</row>
    <row r="787" ht="15.75" customHeight="1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</row>
    <row r="788" ht="15.75" customHeight="1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</row>
    <row r="789" ht="15.75" customHeight="1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</row>
    <row r="790" ht="15.75" customHeight="1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</row>
    <row r="791" ht="15.75" customHeight="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</row>
    <row r="792" ht="15.75" customHeight="1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</row>
    <row r="793" ht="15.75" customHeight="1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</row>
    <row r="794" ht="15.75" customHeight="1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</row>
    <row r="795" ht="15.75" customHeight="1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</row>
    <row r="796" ht="15.75" customHeight="1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</row>
    <row r="797" ht="15.75" customHeight="1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</row>
    <row r="798" ht="15.75" customHeight="1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</row>
    <row r="799" ht="15.75" customHeight="1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</row>
    <row r="800" ht="15.75" customHeight="1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</row>
    <row r="801" ht="15.75" customHeight="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</row>
    <row r="802" ht="15.75" customHeight="1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</row>
    <row r="803" ht="15.75" customHeight="1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</row>
    <row r="804" ht="15.75" customHeight="1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</row>
    <row r="805" ht="15.75" customHeight="1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</row>
    <row r="806" ht="15.75" customHeight="1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</row>
    <row r="807" ht="15.75" customHeight="1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</row>
    <row r="808" ht="15.75" customHeight="1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</row>
    <row r="809" ht="15.75" customHeight="1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</row>
    <row r="810" ht="15.75" customHeight="1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</row>
    <row r="811" ht="15.75" customHeight="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</row>
    <row r="812" ht="15.75" customHeight="1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</row>
    <row r="813" ht="15.75" customHeight="1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</row>
    <row r="814" ht="15.75" customHeight="1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</row>
    <row r="815" ht="15.75" customHeight="1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</row>
    <row r="816" ht="15.75" customHeight="1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</row>
    <row r="817" ht="15.75" customHeight="1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</row>
    <row r="818" ht="15.75" customHeight="1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</row>
    <row r="819" ht="15.75" customHeight="1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</row>
    <row r="820" ht="15.75" customHeight="1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</row>
    <row r="821" ht="15.75" customHeight="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</row>
    <row r="822" ht="15.75" customHeight="1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</row>
    <row r="823" ht="15.75" customHeight="1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</row>
    <row r="824" ht="15.75" customHeight="1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</row>
    <row r="825" ht="15.75" customHeight="1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</row>
    <row r="826" ht="15.75" customHeight="1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</row>
    <row r="827" ht="15.75" customHeight="1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</row>
    <row r="828" ht="15.75" customHeight="1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</row>
    <row r="829" ht="15.75" customHeight="1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</row>
    <row r="830" ht="15.75" customHeight="1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</row>
    <row r="831" ht="15.75" customHeight="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</row>
    <row r="832" ht="15.75" customHeight="1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</row>
    <row r="833" ht="15.75" customHeight="1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</row>
    <row r="834" ht="15.75" customHeight="1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</row>
    <row r="835" ht="15.75" customHeight="1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</row>
    <row r="836" ht="15.75" customHeight="1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</row>
    <row r="837" ht="15.75" customHeight="1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</row>
    <row r="838" ht="15.75" customHeight="1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</row>
    <row r="839" ht="15.75" customHeight="1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</row>
    <row r="840" ht="15.75" customHeight="1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</row>
    <row r="841" ht="15.75" customHeight="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</row>
    <row r="842" ht="15.75" customHeight="1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</row>
    <row r="843" ht="15.75" customHeight="1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</row>
    <row r="844" ht="15.75" customHeight="1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</row>
    <row r="845" ht="15.75" customHeight="1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</row>
    <row r="846" ht="15.75" customHeight="1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</row>
    <row r="847" ht="15.75" customHeight="1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</row>
    <row r="848" ht="15.75" customHeight="1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</row>
    <row r="849" ht="15.75" customHeight="1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</row>
    <row r="850" ht="15.75" customHeight="1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</row>
    <row r="851" ht="15.75" customHeight="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</row>
    <row r="852" ht="15.75" customHeight="1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</row>
    <row r="853" ht="15.75" customHeight="1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</row>
    <row r="854" ht="15.75" customHeight="1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</row>
    <row r="855" ht="15.75" customHeight="1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</row>
    <row r="856" ht="15.75" customHeight="1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</row>
    <row r="857" ht="15.75" customHeight="1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</row>
    <row r="858" ht="15.75" customHeight="1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</row>
    <row r="859" ht="15.75" customHeight="1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</row>
    <row r="860" ht="15.75" customHeight="1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</row>
    <row r="861" ht="15.75" customHeight="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</row>
    <row r="862" ht="15.75" customHeight="1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</row>
    <row r="863" ht="15.75" customHeight="1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</row>
    <row r="864" ht="15.75" customHeight="1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</row>
    <row r="865" ht="15.75" customHeight="1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</row>
    <row r="866" ht="15.75" customHeight="1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</row>
    <row r="867" ht="15.75" customHeight="1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</row>
    <row r="868" ht="15.75" customHeight="1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</row>
    <row r="869" ht="15.75" customHeight="1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</row>
    <row r="870" ht="15.75" customHeight="1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</row>
    <row r="871" ht="15.75" customHeight="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</row>
    <row r="872" ht="15.75" customHeight="1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</row>
    <row r="873" ht="15.75" customHeight="1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</row>
    <row r="874" ht="15.75" customHeight="1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</row>
    <row r="875" ht="15.75" customHeight="1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</row>
    <row r="876" ht="15.75" customHeight="1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</row>
    <row r="877" ht="15.75" customHeight="1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</row>
    <row r="878" ht="15.75" customHeight="1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</row>
    <row r="879" ht="15.75" customHeight="1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</row>
    <row r="880" ht="15.75" customHeight="1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</row>
    <row r="881" ht="15.75" customHeight="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</row>
    <row r="882" ht="15.75" customHeight="1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</row>
    <row r="883" ht="15.75" customHeight="1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</row>
    <row r="884" ht="15.75" customHeight="1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</row>
    <row r="885" ht="15.75" customHeight="1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</row>
    <row r="886" ht="15.75" customHeight="1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</row>
    <row r="887" ht="15.75" customHeight="1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</row>
    <row r="888" ht="15.75" customHeight="1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</row>
    <row r="889" ht="15.75" customHeight="1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</row>
    <row r="890" ht="15.75" customHeight="1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</row>
    <row r="891" ht="15.75" customHeight="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</row>
    <row r="892" ht="15.75" customHeight="1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</row>
    <row r="893" ht="15.75" customHeight="1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</row>
    <row r="894" ht="15.75" customHeight="1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</row>
    <row r="895" ht="15.75" customHeight="1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</row>
    <row r="896" ht="15.75" customHeight="1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</row>
    <row r="897" ht="15.75" customHeight="1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</row>
    <row r="898" ht="15.75" customHeight="1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</row>
    <row r="899" ht="15.75" customHeight="1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</row>
    <row r="900" ht="15.75" customHeight="1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</row>
    <row r="901" ht="15.75" customHeight="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</row>
    <row r="902" ht="15.75" customHeight="1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</row>
    <row r="903" ht="15.75" customHeight="1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</row>
    <row r="904" ht="15.75" customHeight="1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</row>
    <row r="905" ht="15.75" customHeight="1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</row>
    <row r="906" ht="15.75" customHeight="1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</row>
    <row r="907" ht="15.75" customHeight="1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</row>
    <row r="908" ht="15.75" customHeight="1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</row>
    <row r="909" ht="15.75" customHeight="1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</row>
    <row r="910" ht="15.75" customHeight="1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</row>
    <row r="911" ht="15.75" customHeight="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</row>
    <row r="912" ht="15.75" customHeight="1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</row>
    <row r="913" ht="15.75" customHeight="1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</row>
    <row r="914" ht="15.75" customHeight="1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</row>
    <row r="915" ht="15.75" customHeight="1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</row>
    <row r="916" ht="15.75" customHeight="1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</row>
    <row r="917" ht="15.75" customHeight="1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</row>
    <row r="918" ht="15.75" customHeight="1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</row>
    <row r="919" ht="15.75" customHeight="1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</row>
    <row r="920" ht="15.75" customHeight="1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</row>
    <row r="921" ht="15.75" customHeight="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</row>
    <row r="922" ht="15.75" customHeight="1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</row>
    <row r="923" ht="15.75" customHeight="1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</row>
    <row r="924" ht="15.75" customHeight="1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</row>
    <row r="925" ht="15.75" customHeight="1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</row>
    <row r="926" ht="15.75" customHeight="1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</row>
    <row r="927" ht="15.75" customHeight="1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</row>
    <row r="928" ht="15.75" customHeight="1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</row>
    <row r="929" ht="15.75" customHeight="1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</row>
    <row r="930" ht="15.75" customHeight="1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</row>
    <row r="931" ht="15.75" customHeight="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</row>
    <row r="932" ht="15.75" customHeight="1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</row>
    <row r="933" ht="15.75" customHeight="1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</row>
    <row r="934" ht="15.75" customHeight="1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</row>
    <row r="935" ht="15.75" customHeight="1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</row>
    <row r="936" ht="15.75" customHeight="1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</row>
    <row r="937" ht="15.75" customHeight="1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</row>
    <row r="938" ht="15.75" customHeight="1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</row>
    <row r="939" ht="15.75" customHeight="1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</row>
    <row r="940" ht="15.75" customHeight="1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</row>
    <row r="941" ht="15.75" customHeight="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</row>
    <row r="942" ht="15.75" customHeight="1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</row>
    <row r="943" ht="15.75" customHeight="1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</row>
    <row r="944" ht="15.75" customHeight="1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</row>
    <row r="945" ht="15.75" customHeight="1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</row>
    <row r="946" ht="15.75" customHeight="1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</row>
    <row r="947" ht="15.75" customHeight="1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</row>
    <row r="948" ht="15.75" customHeight="1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</row>
    <row r="949" ht="15.75" customHeight="1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</row>
    <row r="950" ht="15.75" customHeight="1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</row>
    <row r="951" ht="15.75" customHeight="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</row>
    <row r="952" ht="15.75" customHeight="1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</row>
    <row r="953" ht="15.75" customHeight="1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</row>
    <row r="954" ht="15.75" customHeight="1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</row>
    <row r="955" ht="15.75" customHeight="1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</row>
    <row r="956" ht="15.75" customHeight="1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</row>
    <row r="957" ht="15.75" customHeight="1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</row>
    <row r="958" ht="15.75" customHeight="1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</row>
    <row r="959" ht="15.75" customHeight="1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</row>
    <row r="960" ht="15.75" customHeight="1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</row>
    <row r="961" ht="15.75" customHeight="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</row>
    <row r="962" ht="15.75" customHeight="1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</row>
    <row r="963" ht="15.75" customHeight="1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</row>
    <row r="964" ht="15.75" customHeight="1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</row>
    <row r="965" ht="15.75" customHeight="1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</row>
    <row r="966" ht="15.75" customHeight="1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</row>
    <row r="967" ht="15.75" customHeight="1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</row>
    <row r="968" ht="15.75" customHeight="1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</row>
    <row r="969" ht="15.75" customHeight="1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</row>
    <row r="970" ht="15.75" customHeight="1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</row>
    <row r="971" ht="15.75" customHeight="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</row>
    <row r="972" ht="15.75" customHeight="1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</row>
    <row r="973" ht="15.75" customHeight="1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</row>
    <row r="974" ht="15.75" customHeight="1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</row>
    <row r="975" ht="15.75" customHeight="1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</row>
    <row r="976" ht="15.75" customHeight="1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</row>
    <row r="977" ht="15.75" customHeight="1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</row>
    <row r="978" ht="15.75" customHeight="1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</row>
    <row r="979" ht="15.75" customHeight="1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</row>
    <row r="980" ht="15.75" customHeight="1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</row>
    <row r="981" ht="15.75" customHeight="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</row>
    <row r="982" ht="15.75" customHeight="1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</row>
    <row r="983" ht="15.75" customHeight="1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</row>
    <row r="984" ht="15.75" customHeight="1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</row>
    <row r="985" ht="15.75" customHeight="1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</row>
    <row r="986" ht="15.75" customHeight="1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</row>
    <row r="987" ht="15.75" customHeight="1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</row>
    <row r="988" ht="15.75" customHeight="1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</row>
    <row r="989" ht="15.75" customHeight="1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</row>
    <row r="990" ht="15.75" customHeight="1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</row>
    <row r="991" ht="15.75" customHeight="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</row>
    <row r="992" ht="15.75" customHeight="1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</row>
    <row r="993" ht="15.75" customHeight="1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</row>
    <row r="994" ht="15.75" customHeight="1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</row>
    <row r="995" ht="15.75" customHeight="1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</row>
    <row r="996" ht="15.75" customHeight="1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</row>
    <row r="997" ht="15.75" customHeight="1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</row>
    <row r="998" ht="15.75" customHeight="1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</row>
    <row r="999" ht="15.75" customHeight="1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</row>
    <row r="1000" ht="15.75" customHeight="1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</row>
  </sheetData>
  <mergeCells count="31">
    <mergeCell ref="O24:T24"/>
    <mergeCell ref="O25:P25"/>
    <mergeCell ref="Q25:R25"/>
    <mergeCell ref="S25:T25"/>
    <mergeCell ref="A1:Z8"/>
    <mergeCell ref="AD9:AH9"/>
    <mergeCell ref="AJ9:AN9"/>
    <mergeCell ref="A10:Z10"/>
    <mergeCell ref="A11:A21"/>
    <mergeCell ref="A25:A26"/>
    <mergeCell ref="B25:J26"/>
    <mergeCell ref="S26:T26"/>
    <mergeCell ref="O26:P26"/>
    <mergeCell ref="Q26:R26"/>
    <mergeCell ref="O27:P27"/>
    <mergeCell ref="Q27:R27"/>
    <mergeCell ref="S27:T27"/>
    <mergeCell ref="Q28:R28"/>
    <mergeCell ref="S28:T28"/>
    <mergeCell ref="Q30:R30"/>
    <mergeCell ref="S30:T30"/>
    <mergeCell ref="O31:P31"/>
    <mergeCell ref="Q31:R31"/>
    <mergeCell ref="S31:T31"/>
    <mergeCell ref="O28:P28"/>
    <mergeCell ref="C29:D29"/>
    <mergeCell ref="O29:P29"/>
    <mergeCell ref="Q29:R29"/>
    <mergeCell ref="S29:T29"/>
    <mergeCell ref="C30:D30"/>
    <mergeCell ref="O30:P3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2022-11-22T04:54:50Z</dcterms:created>
  <dc:creator>flor bazan</dc:creator>
</cp:coreProperties>
</file>